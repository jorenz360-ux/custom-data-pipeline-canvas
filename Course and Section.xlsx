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2"/>
  </bookViews>
  <sheets>
    <sheet name="Grading" sheetId="1" r:id="rId1"/>
    <sheet name="Midterms" sheetId="2" r:id="rId2"/>
    <sheet name="Finals with PT" sheetId="3" r:id="rId3"/>
    <sheet name="Finals without PT" sheetId="4" r:id="rId4"/>
  </sheets>
  <definedNames>
    <definedName name="NamedRange1">Midterms!$H:$H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<sst xmlns="http://schemas.openxmlformats.org/spreadsheetml/2006/main" count="152" uniqueCount="36">
  <si>
    <t>IPT101A SECTION D</t>
  </si>
  <si>
    <t>STUDENTS</t>
  </si>
  <si>
    <t>Midterm Exam</t>
  </si>
  <si>
    <t>CA TOTAL</t>
  </si>
  <si>
    <t>%</t>
  </si>
  <si>
    <t>CA GRADE</t>
  </si>
  <si>
    <t>Quiz1</t>
  </si>
  <si>
    <t>QUIZ TOTAL</t>
  </si>
  <si>
    <t>QUIZ GRADE</t>
  </si>
  <si>
    <t>Exam</t>
  </si>
  <si>
    <t>Midterm Exam Grade</t>
  </si>
  <si>
    <t>Midterm Grade</t>
  </si>
  <si>
    <t>DATE</t>
  </si>
  <si>
    <t>TOTAL POINTS</t>
  </si>
  <si>
    <t>FAIL</t>
  </si>
  <si>
    <t>PASS</t>
  </si>
  <si>
    <t>IPT101</t>
  </si>
  <si>
    <t>ATTENDANCE</t>
  </si>
  <si>
    <t>Activities</t>
  </si>
  <si>
    <t>Quiz</t>
  </si>
  <si>
    <t>Performance Task</t>
  </si>
  <si>
    <t>Final Exam</t>
  </si>
  <si>
    <t>Course Grade</t>
  </si>
  <si>
    <t>Q2</t>
  </si>
  <si>
    <t>PT1</t>
  </si>
  <si>
    <t>PT TOTAL</t>
  </si>
  <si>
    <t>PT GRADE</t>
  </si>
  <si>
    <t>E2</t>
  </si>
  <si>
    <t>Final Exam Grade</t>
  </si>
  <si>
    <t>Finals Grade</t>
  </si>
  <si>
    <t>ACHACOSO, Aleann Venice Amor</t>
  </si>
  <si>
    <t>AGUM, Gideon Rey Cadeliña</t>
  </si>
  <si>
    <t>ALCALA, John Niño Mikhael Tenorio</t>
  </si>
  <si>
    <t>INC</t>
  </si>
  <si>
    <t>[SUBJECT TITLE]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</si>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</sst>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m\-yy"/>
    <numFmt numFmtId="177" formatCode="0.0_ "/>
    <numFmt numFmtId="178" formatCode="mm/dd/yy"/>
    <numFmt numFmtId="179" formatCode="0_ "/>
    <numFmt numFmtId="180" formatCode="m/d/yyyy"/>
    <numFmt numFmtId="181" formatCode="mm/dd/yyyy"/>
    <numFmt numFmtId="182" formatCode="0.0"/>
  </numFmts>
  <fonts count="33">
    <font>
      <sz val="11"/>
      <color rgb="FF000000"/>
      <name val="Calibri"/>
      <charset val="134"/>
      <scheme val="minor"/>
    </font>
    <font>
      <b/>
      <sz val="20"/>
      <color rgb="FF000000"/>
      <name val="Calibri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F2F2F2"/>
      <name val="Calibri"/>
      <charset val="134"/>
    </font>
    <font>
      <sz val="11"/>
      <color rgb="FFF2F2F2"/>
      <name val="Calibri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sz val="11"/>
      <color rgb="FF363636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Roboto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5"/>
        <bgColor rgb="FF2E75B5"/>
      </patternFill>
    </fill>
    <fill>
      <patternFill patternType="solid">
        <fgColor rgb="FFADB9CA"/>
        <bgColor rgb="FFADB9CA"/>
      </patternFill>
    </fill>
    <fill>
      <patternFill patternType="solid">
        <fgColor rgb="FF548235"/>
        <bgColor rgb="FF548235"/>
      </patternFill>
    </fill>
    <fill>
      <patternFill patternType="solid">
        <fgColor rgb="FF3D85C6"/>
        <bgColor rgb="FF3D85C6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1" borderId="2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27" applyNumberFormat="0" applyAlignment="0" applyProtection="0">
      <alignment vertical="center"/>
    </xf>
    <xf numFmtId="0" fontId="23" fillId="13" borderId="28" applyNumberFormat="0" applyAlignment="0" applyProtection="0">
      <alignment vertical="center"/>
    </xf>
    <xf numFmtId="0" fontId="24" fillId="13" borderId="27" applyNumberFormat="0" applyAlignment="0" applyProtection="0">
      <alignment vertical="center"/>
    </xf>
    <xf numFmtId="0" fontId="25" fillId="14" borderId="29" applyNumberFormat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94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6" fillId="3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top"/>
    </xf>
    <xf numFmtId="0" fontId="8" fillId="0" borderId="2" xfId="0" applyFont="1" applyBorder="1" applyAlignment="1">
      <alignment vertical="center"/>
    </xf>
    <xf numFmtId="0" fontId="4" fillId="0" borderId="9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3" fillId="2" borderId="9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top"/>
    </xf>
    <xf numFmtId="0" fontId="3" fillId="4" borderId="9" xfId="0" applyFont="1" applyFill="1" applyBorder="1" applyAlignment="1">
      <alignment horizontal="center" vertical="center"/>
    </xf>
    <xf numFmtId="177" fontId="3" fillId="2" borderId="9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177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78" fontId="9" fillId="6" borderId="13" xfId="0" applyNumberFormat="1" applyFont="1" applyFill="1" applyBorder="1" applyAlignment="1">
      <alignment horizontal="center" vertical="center" textRotation="180" wrapText="1"/>
    </xf>
    <xf numFmtId="0" fontId="4" fillId="0" borderId="2" xfId="0" applyFont="1" applyBorder="1" applyAlignment="1">
      <alignment horizontal="center" vertical="top"/>
    </xf>
    <xf numFmtId="0" fontId="10" fillId="7" borderId="14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10" fillId="8" borderId="14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0" fillId="8" borderId="15" xfId="0" applyFont="1" applyFill="1" applyBorder="1" applyAlignment="1">
      <alignment horizontal="left" vertical="top"/>
    </xf>
    <xf numFmtId="0" fontId="10" fillId="7" borderId="15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78" fontId="6" fillId="3" borderId="11" xfId="0" applyNumberFormat="1" applyFont="1" applyFill="1" applyBorder="1" applyAlignment="1">
      <alignment horizontal="center" vertical="center" textRotation="180"/>
    </xf>
    <xf numFmtId="178" fontId="9" fillId="6" borderId="11" xfId="0" applyNumberFormat="1" applyFont="1" applyFill="1" applyBorder="1" applyAlignment="1">
      <alignment horizontal="center" vertical="center" textRotation="180" wrapText="1"/>
    </xf>
    <xf numFmtId="178" fontId="9" fillId="3" borderId="11" xfId="0" applyNumberFormat="1" applyFont="1" applyFill="1" applyBorder="1" applyAlignment="1">
      <alignment horizontal="center" vertical="center" textRotation="180" wrapText="1"/>
    </xf>
    <xf numFmtId="0" fontId="9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179" fontId="4" fillId="0" borderId="9" xfId="0" applyNumberFormat="1" applyFont="1" applyBorder="1" applyAlignment="1">
      <alignment horizontal="center" vertical="top"/>
    </xf>
    <xf numFmtId="0" fontId="12" fillId="0" borderId="0" xfId="0" applyFont="1" applyAlignment="1">
      <alignment vertical="center"/>
    </xf>
    <xf numFmtId="179" fontId="12" fillId="0" borderId="0" xfId="0" applyNumberFormat="1" applyFont="1" applyAlignment="1">
      <alignment vertical="center"/>
    </xf>
    <xf numFmtId="179" fontId="12" fillId="0" borderId="9" xfId="0" applyNumberFormat="1" applyFont="1" applyBorder="1" applyAlignment="1">
      <alignment vertical="center"/>
    </xf>
    <xf numFmtId="179" fontId="4" fillId="0" borderId="9" xfId="0" applyNumberFormat="1" applyFont="1" applyBorder="1" applyAlignment="1">
      <alignment horizontal="center" vertical="center"/>
    </xf>
    <xf numFmtId="179" fontId="3" fillId="4" borderId="9" xfId="0" applyNumberFormat="1" applyFont="1" applyFill="1" applyBorder="1" applyAlignment="1">
      <alignment horizontal="center" vertical="center"/>
    </xf>
    <xf numFmtId="177" fontId="9" fillId="2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177" fontId="4" fillId="2" borderId="0" xfId="0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0" fontId="9" fillId="9" borderId="11" xfId="0" applyNumberFormat="1" applyFont="1" applyFill="1" applyBorder="1" applyAlignment="1">
      <alignment horizontal="center" vertical="center" textRotation="90"/>
    </xf>
    <xf numFmtId="58" fontId="9" fillId="9" borderId="11" xfId="0" applyNumberFormat="1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top"/>
    </xf>
    <xf numFmtId="0" fontId="8" fillId="0" borderId="8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81" fontId="9" fillId="9" borderId="11" xfId="0" applyNumberFormat="1" applyFont="1" applyFill="1" applyBorder="1" applyAlignment="1">
      <alignment horizontal="center" vertical="center" textRotation="90"/>
    </xf>
    <xf numFmtId="0" fontId="8" fillId="2" borderId="1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181" fontId="9" fillId="9" borderId="5" xfId="0" applyNumberFormat="1" applyFont="1" applyFill="1" applyBorder="1" applyAlignment="1">
      <alignment horizontal="center" vertical="center" textRotation="90"/>
    </xf>
    <xf numFmtId="0" fontId="3" fillId="0" borderId="17" xfId="0" applyFont="1" applyBorder="1" applyAlignment="1">
      <alignment horizontal="center" vertical="center" wrapText="1"/>
    </xf>
    <xf numFmtId="176" fontId="6" fillId="3" borderId="17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4" fillId="0" borderId="1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4" fillId="0" borderId="10" xfId="0" applyFont="1" applyBorder="1" applyAlignment="1">
      <alignment horizontal="center" vertical="top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right"/>
    </xf>
    <xf numFmtId="182" fontId="13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sz val="11"/>
        <color rgb="FFFFFFFF"/>
      </font>
      <fill>
        <patternFill patternType="solid">
          <fgColor rgb="FF70AD47"/>
          <bgColor rgb="FF70AD47"/>
        </patternFill>
      </fill>
    </dxf>
    <dxf>
      <font>
        <sz val="11"/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548135"/>
          <bgColor rgb="FF54813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A61C00"/>
          <bgColor rgb="FFA61C00"/>
        </patternFill>
      </fill>
    </dxf>
    <dxf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990000"/>
          <bgColor rgb="FF99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Midterms-style" pivot="0" count="2" xr9:uid="{0007A9D4-BA37-4BCB-9EE6-D7F736710F08}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"/>
    </sheetView>
  </sheetViews>
  <sheetFormatPr defaultColWidth="14.4272727272727" defaultRowHeight="15" customHeight="1" outlineLevelCol="1"/>
  <cols>
    <col min="1" max="6" width="9.13636363636364" customWidth="1"/>
  </cols>
  <sheetData>
    <row r="1" ht="14.5" spans="1:2">
      <c r="A1" s="92">
        <v>0</v>
      </c>
      <c r="B1" s="93">
        <v>5</v>
      </c>
    </row>
    <row r="2" ht="14.5" spans="1:2">
      <c r="A2" s="92">
        <v>1</v>
      </c>
      <c r="B2" s="93">
        <v>4.9</v>
      </c>
    </row>
    <row r="3" ht="14.5" spans="1:2">
      <c r="A3" s="92">
        <v>2</v>
      </c>
      <c r="B3" s="93">
        <v>4.9</v>
      </c>
    </row>
    <row r="4" ht="14.5" spans="1:2">
      <c r="A4" s="92">
        <v>3</v>
      </c>
      <c r="B4" s="93">
        <v>4.9</v>
      </c>
    </row>
    <row r="5" ht="14.5" spans="1:2">
      <c r="A5" s="92">
        <v>4</v>
      </c>
      <c r="B5" s="93">
        <v>4.8</v>
      </c>
    </row>
    <row r="6" ht="14.5" spans="1:2">
      <c r="A6" s="92">
        <v>5</v>
      </c>
      <c r="B6" s="93">
        <v>4.8</v>
      </c>
    </row>
    <row r="7" ht="14.5" spans="1:2">
      <c r="A7" s="92">
        <v>6</v>
      </c>
      <c r="B7" s="93">
        <v>4.7</v>
      </c>
    </row>
    <row r="8" ht="14.5" spans="1:2">
      <c r="A8" s="92">
        <v>7</v>
      </c>
      <c r="B8" s="93">
        <v>4.7</v>
      </c>
    </row>
    <row r="9" ht="14.5" spans="1:2">
      <c r="A9" s="92">
        <v>8</v>
      </c>
      <c r="B9" s="93">
        <v>4.6</v>
      </c>
    </row>
    <row r="10" ht="14.5" spans="1:2">
      <c r="A10" s="92">
        <v>9</v>
      </c>
      <c r="B10" s="93">
        <v>4.6</v>
      </c>
    </row>
    <row r="11" ht="14.5" spans="1:2">
      <c r="A11" s="92">
        <v>10</v>
      </c>
      <c r="B11" s="93">
        <v>4.5</v>
      </c>
    </row>
    <row r="12" ht="14.5" spans="1:2">
      <c r="A12" s="92">
        <v>11</v>
      </c>
      <c r="B12" s="93">
        <v>4.5</v>
      </c>
    </row>
    <row r="13" ht="14.5" spans="1:2">
      <c r="A13" s="92">
        <v>12</v>
      </c>
      <c r="B13" s="93">
        <v>4.4</v>
      </c>
    </row>
    <row r="14" ht="14.5" spans="1:2">
      <c r="A14" s="92">
        <v>13</v>
      </c>
      <c r="B14" s="93">
        <v>4.4</v>
      </c>
    </row>
    <row r="15" ht="14.5" spans="1:2">
      <c r="A15" s="92">
        <v>14</v>
      </c>
      <c r="B15" s="93">
        <v>4.3</v>
      </c>
    </row>
    <row r="16" ht="14.5" spans="1:2">
      <c r="A16" s="92">
        <v>15</v>
      </c>
      <c r="B16" s="93">
        <v>4.3</v>
      </c>
    </row>
    <row r="17" ht="14.5" spans="1:2">
      <c r="A17" s="92">
        <v>16</v>
      </c>
      <c r="B17" s="93">
        <v>4.2</v>
      </c>
    </row>
    <row r="18" ht="14.5" spans="1:2">
      <c r="A18" s="92">
        <v>17</v>
      </c>
      <c r="B18" s="93">
        <v>4.2</v>
      </c>
    </row>
    <row r="19" ht="14.5" spans="1:2">
      <c r="A19" s="92">
        <v>18</v>
      </c>
      <c r="B19" s="93">
        <v>4.1</v>
      </c>
    </row>
    <row r="20" ht="14.5" spans="1:2">
      <c r="A20" s="92">
        <v>19</v>
      </c>
      <c r="B20" s="93">
        <v>4.1</v>
      </c>
    </row>
    <row r="21" ht="15.75" customHeight="1" spans="1:2">
      <c r="A21" s="92">
        <v>20</v>
      </c>
      <c r="B21" s="93">
        <v>4</v>
      </c>
    </row>
    <row r="22" ht="15.75" customHeight="1" spans="1:2">
      <c r="A22" s="92">
        <v>21</v>
      </c>
      <c r="B22" s="93">
        <v>4</v>
      </c>
    </row>
    <row r="23" ht="15.75" customHeight="1" spans="1:2">
      <c r="A23" s="92">
        <v>22</v>
      </c>
      <c r="B23" s="93">
        <v>4</v>
      </c>
    </row>
    <row r="24" ht="15.75" customHeight="1" spans="1:2">
      <c r="A24" s="92">
        <v>23</v>
      </c>
      <c r="B24" s="93">
        <v>3.9</v>
      </c>
    </row>
    <row r="25" ht="15.75" customHeight="1" spans="1:2">
      <c r="A25" s="92">
        <v>24</v>
      </c>
      <c r="B25" s="93">
        <v>3.9</v>
      </c>
    </row>
    <row r="26" ht="15.75" customHeight="1" spans="1:2">
      <c r="A26" s="92">
        <v>25</v>
      </c>
      <c r="B26" s="93">
        <v>3.9</v>
      </c>
    </row>
    <row r="27" ht="15.75" customHeight="1" spans="1:2">
      <c r="A27" s="92">
        <v>26</v>
      </c>
      <c r="B27" s="93">
        <v>3.8</v>
      </c>
    </row>
    <row r="28" ht="15.75" customHeight="1" spans="1:2">
      <c r="A28" s="92">
        <v>27</v>
      </c>
      <c r="B28" s="93">
        <v>3.8</v>
      </c>
    </row>
    <row r="29" ht="15.75" customHeight="1" spans="1:2">
      <c r="A29" s="92">
        <v>28</v>
      </c>
      <c r="B29" s="93">
        <v>3.8</v>
      </c>
    </row>
    <row r="30" ht="15.75" customHeight="1" spans="1:2">
      <c r="A30" s="92">
        <v>29</v>
      </c>
      <c r="B30" s="93">
        <v>3.7</v>
      </c>
    </row>
    <row r="31" ht="15.75" customHeight="1" spans="1:2">
      <c r="A31" s="92">
        <v>30</v>
      </c>
      <c r="B31" s="93">
        <v>3.7</v>
      </c>
    </row>
    <row r="32" ht="15.75" customHeight="1" spans="1:2">
      <c r="A32" s="92">
        <v>31</v>
      </c>
      <c r="B32" s="93">
        <v>3.7</v>
      </c>
    </row>
    <row r="33" ht="15.75" customHeight="1" spans="1:2">
      <c r="A33" s="92">
        <v>32</v>
      </c>
      <c r="B33" s="93">
        <v>3.6</v>
      </c>
    </row>
    <row r="34" ht="15.75" customHeight="1" spans="1:2">
      <c r="A34" s="92">
        <v>33</v>
      </c>
      <c r="B34" s="93">
        <v>3.6</v>
      </c>
    </row>
    <row r="35" ht="15.75" customHeight="1" spans="1:2">
      <c r="A35" s="92">
        <v>34</v>
      </c>
      <c r="B35" s="93">
        <v>3.6</v>
      </c>
    </row>
    <row r="36" ht="15.75" customHeight="1" spans="1:2">
      <c r="A36" s="92">
        <v>35</v>
      </c>
      <c r="B36" s="93">
        <v>3.5</v>
      </c>
    </row>
    <row r="37" ht="15.75" customHeight="1" spans="1:2">
      <c r="A37" s="92">
        <v>36</v>
      </c>
      <c r="B37" s="93">
        <v>3.5</v>
      </c>
    </row>
    <row r="38" ht="15.75" customHeight="1" spans="1:2">
      <c r="A38" s="92">
        <v>37</v>
      </c>
      <c r="B38" s="93">
        <v>3.5</v>
      </c>
    </row>
    <row r="39" ht="15.75" customHeight="1" spans="1:2">
      <c r="A39" s="92">
        <v>38</v>
      </c>
      <c r="B39" s="93">
        <v>3.4</v>
      </c>
    </row>
    <row r="40" ht="15.75" customHeight="1" spans="1:2">
      <c r="A40" s="92">
        <v>39</v>
      </c>
      <c r="B40" s="93">
        <v>3.4</v>
      </c>
    </row>
    <row r="41" ht="15.75" customHeight="1" spans="1:2">
      <c r="A41" s="92">
        <v>40</v>
      </c>
      <c r="B41" s="93">
        <v>3.4</v>
      </c>
    </row>
    <row r="42" ht="15.75" customHeight="1" spans="1:2">
      <c r="A42" s="92">
        <v>41</v>
      </c>
      <c r="B42" s="93">
        <v>3.3</v>
      </c>
    </row>
    <row r="43" ht="15.75" customHeight="1" spans="1:2">
      <c r="A43" s="92">
        <v>42</v>
      </c>
      <c r="B43" s="93">
        <v>3.3</v>
      </c>
    </row>
    <row r="44" ht="15.75" customHeight="1" spans="1:2">
      <c r="A44" s="92">
        <v>43</v>
      </c>
      <c r="B44" s="93">
        <v>3.3</v>
      </c>
    </row>
    <row r="45" ht="15.75" customHeight="1" spans="1:2">
      <c r="A45" s="92">
        <v>44</v>
      </c>
      <c r="B45" s="93">
        <v>3.2</v>
      </c>
    </row>
    <row r="46" ht="15.75" customHeight="1" spans="1:2">
      <c r="A46" s="92">
        <v>45</v>
      </c>
      <c r="B46" s="93">
        <v>3.2</v>
      </c>
    </row>
    <row r="47" ht="15.75" customHeight="1" spans="1:2">
      <c r="A47" s="92">
        <v>46</v>
      </c>
      <c r="B47" s="93">
        <v>3.1</v>
      </c>
    </row>
    <row r="48" ht="15.75" customHeight="1" spans="1:2">
      <c r="A48" s="92">
        <v>47</v>
      </c>
      <c r="B48" s="93">
        <v>3.1</v>
      </c>
    </row>
    <row r="49" ht="15.75" customHeight="1" spans="1:2">
      <c r="A49" s="92">
        <v>48</v>
      </c>
      <c r="B49" s="93">
        <v>3</v>
      </c>
    </row>
    <row r="50" ht="15.75" customHeight="1" spans="1:2">
      <c r="A50" s="92">
        <v>49</v>
      </c>
      <c r="B50" s="93">
        <v>3</v>
      </c>
    </row>
    <row r="51" ht="15.75" customHeight="1" spans="1:2">
      <c r="A51" s="92">
        <v>50</v>
      </c>
      <c r="B51" s="93">
        <v>3</v>
      </c>
    </row>
    <row r="52" ht="15.75" customHeight="1" spans="1:2">
      <c r="A52" s="92">
        <v>51</v>
      </c>
      <c r="B52" s="93">
        <v>3</v>
      </c>
    </row>
    <row r="53" ht="15.75" customHeight="1" spans="1:2">
      <c r="A53" s="92">
        <v>52</v>
      </c>
      <c r="B53" s="93">
        <v>2.9</v>
      </c>
    </row>
    <row r="54" ht="15.75" customHeight="1" spans="1:2">
      <c r="A54" s="92">
        <v>53</v>
      </c>
      <c r="B54" s="93">
        <v>2.9</v>
      </c>
    </row>
    <row r="55" ht="15.75" customHeight="1" spans="1:2">
      <c r="A55" s="92">
        <v>54</v>
      </c>
      <c r="B55" s="93">
        <v>2.8</v>
      </c>
    </row>
    <row r="56" ht="15.75" customHeight="1" spans="1:2">
      <c r="A56" s="92">
        <v>55</v>
      </c>
      <c r="B56" s="93">
        <v>2.8</v>
      </c>
    </row>
    <row r="57" ht="15.75" customHeight="1" spans="1:2">
      <c r="A57" s="92">
        <v>56</v>
      </c>
      <c r="B57" s="93">
        <v>2.7</v>
      </c>
    </row>
    <row r="58" ht="15.75" customHeight="1" spans="1:2">
      <c r="A58" s="92">
        <v>57</v>
      </c>
      <c r="B58" s="93">
        <v>2.7</v>
      </c>
    </row>
    <row r="59" ht="15.75" customHeight="1" spans="1:2">
      <c r="A59" s="92">
        <v>58</v>
      </c>
      <c r="B59" s="93">
        <v>2.6</v>
      </c>
    </row>
    <row r="60" ht="15.75" customHeight="1" spans="1:2">
      <c r="A60" s="92">
        <v>59</v>
      </c>
      <c r="B60" s="93">
        <v>2.6</v>
      </c>
    </row>
    <row r="61" ht="15.75" customHeight="1" spans="1:2">
      <c r="A61" s="92">
        <v>60</v>
      </c>
      <c r="B61" s="93">
        <v>2.5</v>
      </c>
    </row>
    <row r="62" ht="15.75" customHeight="1" spans="1:2">
      <c r="A62" s="92">
        <v>61</v>
      </c>
      <c r="B62" s="93">
        <v>2.5</v>
      </c>
    </row>
    <row r="63" ht="15.75" customHeight="1" spans="1:2">
      <c r="A63" s="92">
        <v>62</v>
      </c>
      <c r="B63" s="93">
        <v>2.4</v>
      </c>
    </row>
    <row r="64" ht="15.75" customHeight="1" spans="1:2">
      <c r="A64" s="92">
        <v>63</v>
      </c>
      <c r="B64" s="93">
        <v>2.4</v>
      </c>
    </row>
    <row r="65" ht="15.75" customHeight="1" spans="1:2">
      <c r="A65" s="92">
        <v>64</v>
      </c>
      <c r="B65" s="93">
        <v>2.3</v>
      </c>
    </row>
    <row r="66" ht="15.75" customHeight="1" spans="1:2">
      <c r="A66" s="92">
        <v>65</v>
      </c>
      <c r="B66" s="93">
        <v>2.3</v>
      </c>
    </row>
    <row r="67" ht="15.75" customHeight="1" spans="1:2">
      <c r="A67" s="92">
        <v>66</v>
      </c>
      <c r="B67" s="93">
        <v>2.2</v>
      </c>
    </row>
    <row r="68" ht="15.75" customHeight="1" spans="1:2">
      <c r="A68" s="92">
        <v>67</v>
      </c>
      <c r="B68" s="93">
        <v>2.2</v>
      </c>
    </row>
    <row r="69" ht="15.75" customHeight="1" spans="1:2">
      <c r="A69" s="92">
        <v>68</v>
      </c>
      <c r="B69" s="93">
        <v>2.1</v>
      </c>
    </row>
    <row r="70" ht="15.75" customHeight="1" spans="1:2">
      <c r="A70" s="92">
        <v>69</v>
      </c>
      <c r="B70" s="93">
        <v>2.1</v>
      </c>
    </row>
    <row r="71" ht="15.75" customHeight="1" spans="1:2">
      <c r="A71" s="92">
        <v>70</v>
      </c>
      <c r="B71" s="93">
        <v>2</v>
      </c>
    </row>
    <row r="72" ht="15.75" customHeight="1" spans="1:2">
      <c r="A72" s="92">
        <v>71</v>
      </c>
      <c r="B72" s="93">
        <v>2</v>
      </c>
    </row>
    <row r="73" ht="15.75" customHeight="1" spans="1:2">
      <c r="A73" s="92">
        <v>72</v>
      </c>
      <c r="B73" s="93">
        <v>2</v>
      </c>
    </row>
    <row r="74" ht="15.75" customHeight="1" spans="1:2">
      <c r="A74" s="92">
        <v>73</v>
      </c>
      <c r="B74" s="93">
        <v>1.9</v>
      </c>
    </row>
    <row r="75" ht="15.75" customHeight="1" spans="1:2">
      <c r="A75" s="92">
        <v>74</v>
      </c>
      <c r="B75" s="93">
        <v>1.9</v>
      </c>
    </row>
    <row r="76" ht="15.75" customHeight="1" spans="1:2">
      <c r="A76" s="92">
        <v>75</v>
      </c>
      <c r="B76" s="93">
        <v>1.9</v>
      </c>
    </row>
    <row r="77" ht="15.75" customHeight="1" spans="1:2">
      <c r="A77" s="92">
        <v>76</v>
      </c>
      <c r="B77" s="93">
        <v>1.8</v>
      </c>
    </row>
    <row r="78" ht="15.75" customHeight="1" spans="1:2">
      <c r="A78" s="92">
        <v>77</v>
      </c>
      <c r="B78" s="93">
        <v>1.8</v>
      </c>
    </row>
    <row r="79" ht="15.75" customHeight="1" spans="1:2">
      <c r="A79" s="92">
        <v>78</v>
      </c>
      <c r="B79" s="93">
        <v>1.8</v>
      </c>
    </row>
    <row r="80" ht="15.75" customHeight="1" spans="1:2">
      <c r="A80" s="92">
        <v>79</v>
      </c>
      <c r="B80" s="93">
        <v>1.7</v>
      </c>
    </row>
    <row r="81" ht="15.75" customHeight="1" spans="1:2">
      <c r="A81" s="92">
        <v>80</v>
      </c>
      <c r="B81" s="93">
        <v>1.7</v>
      </c>
    </row>
    <row r="82" ht="15.75" customHeight="1" spans="1:2">
      <c r="A82" s="92">
        <v>81</v>
      </c>
      <c r="B82" s="93">
        <v>1.7</v>
      </c>
    </row>
    <row r="83" ht="15.75" customHeight="1" spans="1:2">
      <c r="A83" s="92">
        <v>82</v>
      </c>
      <c r="B83" s="93">
        <v>1.6</v>
      </c>
    </row>
    <row r="84" ht="15.75" customHeight="1" spans="1:2">
      <c r="A84" s="92">
        <v>83</v>
      </c>
      <c r="B84" s="93">
        <v>1.6</v>
      </c>
    </row>
    <row r="85" ht="15.75" customHeight="1" spans="1:2">
      <c r="A85" s="92">
        <v>84</v>
      </c>
      <c r="B85" s="93">
        <v>1.6</v>
      </c>
    </row>
    <row r="86" ht="15.75" customHeight="1" spans="1:2">
      <c r="A86" s="92">
        <v>85</v>
      </c>
      <c r="B86" s="93">
        <v>1.5</v>
      </c>
    </row>
    <row r="87" ht="15.75" customHeight="1" spans="1:2">
      <c r="A87" s="92">
        <v>86</v>
      </c>
      <c r="B87" s="93">
        <v>1.5</v>
      </c>
    </row>
    <row r="88" ht="15.75" customHeight="1" spans="1:2">
      <c r="A88" s="92">
        <v>87</v>
      </c>
      <c r="B88" s="93">
        <v>1.5</v>
      </c>
    </row>
    <row r="89" ht="15.75" customHeight="1" spans="1:2">
      <c r="A89" s="92">
        <v>88</v>
      </c>
      <c r="B89" s="93">
        <v>1.4</v>
      </c>
    </row>
    <row r="90" ht="15.75" customHeight="1" spans="1:2">
      <c r="A90" s="92">
        <v>89</v>
      </c>
      <c r="B90" s="93">
        <v>1.4</v>
      </c>
    </row>
    <row r="91" ht="15.75" customHeight="1" spans="1:2">
      <c r="A91" s="92">
        <v>90</v>
      </c>
      <c r="B91" s="93">
        <v>1.4</v>
      </c>
    </row>
    <row r="92" ht="15.75" customHeight="1" spans="1:2">
      <c r="A92" s="92">
        <v>91</v>
      </c>
      <c r="B92" s="93">
        <v>1.3</v>
      </c>
    </row>
    <row r="93" ht="15.75" customHeight="1" spans="1:2">
      <c r="A93" s="92">
        <v>92</v>
      </c>
      <c r="B93" s="93">
        <v>1.3</v>
      </c>
    </row>
    <row r="94" ht="15.75" customHeight="1" spans="1:2">
      <c r="A94" s="92">
        <v>93</v>
      </c>
      <c r="B94" s="93">
        <v>1.2</v>
      </c>
    </row>
    <row r="95" ht="15.75" customHeight="1" spans="1:2">
      <c r="A95" s="92">
        <v>94</v>
      </c>
      <c r="B95" s="93">
        <v>1.2</v>
      </c>
    </row>
    <row r="96" ht="15.75" customHeight="1" spans="1:2">
      <c r="A96" s="92">
        <v>95</v>
      </c>
      <c r="B96" s="93">
        <v>1.2</v>
      </c>
    </row>
    <row r="97" ht="15.75" customHeight="1" spans="1:2">
      <c r="A97" s="92">
        <v>96</v>
      </c>
      <c r="B97" s="93">
        <v>1.1</v>
      </c>
    </row>
    <row r="98" ht="15.75" customHeight="1" spans="1:2">
      <c r="A98" s="92">
        <v>97</v>
      </c>
      <c r="B98" s="93">
        <v>1.1</v>
      </c>
    </row>
    <row r="99" ht="15.75" customHeight="1" spans="1:2">
      <c r="A99" s="92">
        <v>98</v>
      </c>
      <c r="B99" s="93">
        <v>1.1</v>
      </c>
    </row>
    <row r="100" ht="15.75" customHeight="1" spans="1:2">
      <c r="A100" s="92">
        <v>99</v>
      </c>
      <c r="B100" s="93">
        <v>1</v>
      </c>
    </row>
    <row r="101" ht="15.75" customHeight="1" spans="1:2">
      <c r="A101" s="92">
        <v>100</v>
      </c>
      <c r="B101" s="93">
        <v>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985"/>
  <sheetViews>
    <sheetView topLeftCell="A61" workbookViewId="0">
      <pane xSplit="3" topLeftCell="D1" activePane="topRight" state="frozen"/>
      <selection/>
      <selection pane="topRight" activeCell="AD8" sqref="AD8"/>
    </sheetView>
  </sheetViews>
  <sheetFormatPr defaultColWidth="14.4272727272727" defaultRowHeight="15" customHeight="1"/>
  <cols>
    <col min="1" max="1" width="3.29090909090909" customWidth="1"/>
    <col min="2" max="2" width="3.42727272727273" hidden="1" customWidth="1"/>
    <col min="3" max="3" width="38.4272727272727" customWidth="1"/>
    <col min="4" max="5" width="3.86363636363636" customWidth="1"/>
    <col min="6" max="6" width="3.70909090909091" customWidth="1"/>
    <col min="7" max="8" width="4" customWidth="1"/>
    <col min="9" max="9" width="4.57272727272727" customWidth="1"/>
    <col min="10" max="10" width="3.86363636363636" customWidth="1"/>
    <col min="11" max="11" width="3.13636363636364" customWidth="1"/>
    <col min="12" max="14" width="3.29090909090909" customWidth="1"/>
    <col min="15" max="15" width="7.13636363636364" customWidth="1"/>
    <col min="16" max="16" width="7" customWidth="1"/>
    <col min="17" max="17" width="5.42727272727273" customWidth="1"/>
    <col min="18" max="18" width="5.57272727272727" customWidth="1"/>
    <col min="19" max="19" width="11.2909090909091" customWidth="1"/>
    <col min="20" max="20" width="8.57272727272727" customWidth="1"/>
    <col min="21" max="21" width="8.13636363636364" customWidth="1"/>
    <col min="22" max="22" width="11.4272727272727" customWidth="1"/>
    <col min="23" max="26" width="9.57272727272727" customWidth="1"/>
    <col min="27" max="27" width="8.42727272727273" customWidth="1"/>
    <col min="28" max="28" width="5.13636363636364" customWidth="1"/>
    <col min="29" max="29" width="8" customWidth="1"/>
    <col min="30" max="30" width="4.70909090909091" customWidth="1"/>
    <col min="31" max="31" width="7" customWidth="1"/>
    <col min="32" max="32" width="4.86363636363636" customWidth="1"/>
    <col min="33" max="33" width="7.13636363636364" customWidth="1"/>
    <col min="34" max="34" width="4.57272727272727" customWidth="1"/>
    <col min="35" max="35" width="4" customWidth="1"/>
    <col min="36" max="36" width="9.70909090909091" customWidth="1"/>
    <col min="37" max="37" width="12" customWidth="1"/>
    <col min="38" max="55" width="14" customWidth="1"/>
  </cols>
  <sheetData>
    <row r="1" ht="27" customHeight="1" spans="1:3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1"/>
    </row>
    <row r="2" ht="14.5" spans="1:37">
      <c r="A2" s="3" t="s">
        <v>1</v>
      </c>
      <c r="B2" s="4"/>
      <c r="C2" s="4"/>
      <c r="D2" s="6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1"/>
      <c r="Q2" s="72"/>
      <c r="R2" s="72"/>
      <c r="S2" s="73"/>
      <c r="T2" s="2"/>
      <c r="U2" s="2"/>
      <c r="V2" s="2"/>
      <c r="W2" s="2"/>
      <c r="X2" s="2"/>
      <c r="Y2" s="2"/>
      <c r="Z2" s="2"/>
      <c r="AA2" s="2"/>
      <c r="AB2" s="2"/>
      <c r="AC2" s="21"/>
      <c r="AD2" s="16"/>
      <c r="AE2" s="2"/>
      <c r="AF2" s="2"/>
      <c r="AG2" s="21"/>
      <c r="AH2" s="89" t="s">
        <v>2</v>
      </c>
      <c r="AI2" s="2"/>
      <c r="AJ2" s="21"/>
      <c r="AK2" s="10"/>
    </row>
    <row r="3" ht="45.75" customHeight="1" spans="1:55">
      <c r="A3" s="7"/>
      <c r="B3" s="8"/>
      <c r="C3" s="8"/>
      <c r="D3" s="63"/>
      <c r="E3" s="64"/>
      <c r="F3" s="64"/>
      <c r="G3" s="64"/>
      <c r="H3" s="64"/>
      <c r="I3" s="63"/>
      <c r="J3" s="63"/>
      <c r="K3" s="63"/>
      <c r="L3" s="71"/>
      <c r="M3" s="71"/>
      <c r="N3" s="71"/>
      <c r="O3" s="71"/>
      <c r="P3" s="71"/>
      <c r="Q3" s="74"/>
      <c r="R3" s="74"/>
      <c r="S3" s="75"/>
      <c r="T3" s="10"/>
      <c r="U3" s="10"/>
      <c r="V3" s="10"/>
      <c r="W3" s="10"/>
      <c r="X3" s="10"/>
      <c r="Y3" s="10"/>
      <c r="Z3" s="10"/>
      <c r="AA3" s="22" t="s">
        <v>3</v>
      </c>
      <c r="AB3" s="23" t="s">
        <v>4</v>
      </c>
      <c r="AC3" s="22" t="s">
        <v>5</v>
      </c>
      <c r="AD3" s="10" t="s">
        <v>6</v>
      </c>
      <c r="AE3" s="22" t="s">
        <v>7</v>
      </c>
      <c r="AF3" s="23" t="s">
        <v>4</v>
      </c>
      <c r="AG3" s="22" t="s">
        <v>8</v>
      </c>
      <c r="AH3" s="10" t="s">
        <v>9</v>
      </c>
      <c r="AI3" s="23" t="s">
        <v>4</v>
      </c>
      <c r="AJ3" s="22" t="s">
        <v>10</v>
      </c>
      <c r="AK3" s="50" t="s">
        <v>11</v>
      </c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</row>
    <row r="4" ht="16.5" customHeight="1" spans="1:55">
      <c r="A4" s="12" t="s">
        <v>12</v>
      </c>
      <c r="B4" s="2"/>
      <c r="C4" s="2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9"/>
      <c r="R4" s="9"/>
      <c r="S4" s="76"/>
      <c r="T4" s="13"/>
      <c r="U4" s="13"/>
      <c r="V4" s="13"/>
      <c r="W4" s="13"/>
      <c r="X4" s="13"/>
      <c r="Y4" s="13"/>
      <c r="Z4" s="13"/>
      <c r="AA4" s="24"/>
      <c r="AB4" s="24"/>
      <c r="AC4" s="24"/>
      <c r="AD4" s="13"/>
      <c r="AE4" s="24"/>
      <c r="AF4" s="24"/>
      <c r="AG4" s="24"/>
      <c r="AH4" s="13"/>
      <c r="AI4" s="24"/>
      <c r="AJ4" s="24"/>
      <c r="AK4" s="24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</row>
    <row r="5" ht="14.25" customHeight="1" spans="1:37">
      <c r="A5" s="65" t="s">
        <v>13</v>
      </c>
      <c r="B5" s="2"/>
      <c r="C5" s="21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77"/>
      <c r="R5" s="77"/>
      <c r="S5" s="78"/>
      <c r="T5" s="79"/>
      <c r="U5" s="80"/>
      <c r="V5" s="80"/>
      <c r="W5" s="80"/>
      <c r="X5" s="80"/>
      <c r="Y5" s="80"/>
      <c r="Z5" s="80"/>
      <c r="AA5" s="87">
        <f t="shared" ref="AA5:AA47" si="0">SUM(S5:Z5)</f>
        <v>0</v>
      </c>
      <c r="AB5" s="17">
        <v>100</v>
      </c>
      <c r="AC5" s="26">
        <f>VLOOKUP(AB5,Grading!A1:B101,2,TRUE)</f>
        <v>1</v>
      </c>
      <c r="AD5" s="17">
        <v>100</v>
      </c>
      <c r="AE5" s="17">
        <f t="shared" ref="AE5:AE47" si="1">SUM(AD5)</f>
        <v>100</v>
      </c>
      <c r="AF5" s="17">
        <v>100</v>
      </c>
      <c r="AG5" s="26">
        <f>VLOOKUP(AF5,Grading!A1:B101,2,TRUE)</f>
        <v>1</v>
      </c>
      <c r="AH5" s="17">
        <v>100</v>
      </c>
      <c r="AI5" s="17">
        <v>100</v>
      </c>
      <c r="AJ5" s="26">
        <f>VLOOKUP(AI5,Grading!A1:B101,2,TRUE)</f>
        <v>1</v>
      </c>
      <c r="AK5" s="26">
        <f t="shared" ref="AK5:AK47" si="2">ROUNDDOWN((AC5*0.2)+(AG5*0.2)+(AJ5*0.6),1)</f>
        <v>1</v>
      </c>
    </row>
    <row r="6" ht="14.25" customHeight="1" spans="1:38">
      <c r="A6" s="11">
        <f t="array" ref="A6:A47">_xlfn.SEQUENCE(42,1)</f>
        <v>1</v>
      </c>
      <c r="B6" s="67"/>
      <c r="C6" s="35"/>
      <c r="D6" s="68"/>
      <c r="E6" s="68"/>
      <c r="F6" s="68"/>
      <c r="G6" s="68"/>
      <c r="H6" s="68"/>
      <c r="I6" s="68"/>
      <c r="J6" s="68"/>
      <c r="K6" s="68"/>
      <c r="L6" s="68"/>
      <c r="M6" s="10"/>
      <c r="N6" s="10"/>
      <c r="O6" s="10"/>
      <c r="P6" s="10"/>
      <c r="Q6" s="81"/>
      <c r="R6" s="81"/>
      <c r="S6" s="82"/>
      <c r="T6" s="83"/>
      <c r="U6" s="84"/>
      <c r="V6" s="84"/>
      <c r="W6" s="84"/>
      <c r="X6" s="84"/>
      <c r="Y6" s="84"/>
      <c r="Z6" s="84"/>
      <c r="AA6" s="88">
        <f t="shared" si="0"/>
        <v>0</v>
      </c>
      <c r="AB6" s="27" t="e">
        <f t="shared" ref="AB6:AB47" si="3">ROUNDUP(AA6*100/$AA$5,0)</f>
        <v>#DIV/0!</v>
      </c>
      <c r="AC6" s="28" t="e">
        <f>VLOOKUP(AB6,Grading!$A$1:$B$102,2,TRUE)</f>
        <v>#DIV/0!</v>
      </c>
      <c r="AD6" s="48"/>
      <c r="AE6" s="27">
        <f t="shared" si="1"/>
        <v>0</v>
      </c>
      <c r="AF6" s="27">
        <f t="shared" ref="AF6:AF47" si="4">ROUNDUP(AE6*100/$AE$5,0)</f>
        <v>0</v>
      </c>
      <c r="AG6" s="28">
        <f>VLOOKUP(AF6,Grading!$A$1:$B$102,2,TRUE)</f>
        <v>5</v>
      </c>
      <c r="AH6" s="11"/>
      <c r="AI6" s="27">
        <f t="shared" ref="AI6:AI47" si="5">ROUNDUP(AH6*100/$AH$5,0)</f>
        <v>0</v>
      </c>
      <c r="AJ6" s="28">
        <f>VLOOKUP(AI6,Grading!$A$1:$B$102,2,TRUE)</f>
        <v>5</v>
      </c>
      <c r="AK6" s="28" t="e">
        <f t="shared" si="2"/>
        <v>#DIV/0!</v>
      </c>
      <c r="AL6" s="39" t="e">
        <f t="shared" ref="AL6:AL47" si="6">IF(AK6&lt;=3,"PASS","FAIL")</f>
        <v>#DIV/0!</v>
      </c>
    </row>
    <row r="7" ht="14.25" customHeight="1" spans="1:38">
      <c r="A7" s="11">
        <v>2</v>
      </c>
      <c r="B7" s="67"/>
      <c r="C7" s="37"/>
      <c r="D7" s="68"/>
      <c r="E7" s="68"/>
      <c r="F7" s="68"/>
      <c r="G7" s="68"/>
      <c r="H7" s="68"/>
      <c r="I7" s="68"/>
      <c r="J7" s="68"/>
      <c r="K7" s="68"/>
      <c r="L7" s="68"/>
      <c r="M7" s="10"/>
      <c r="N7" s="10"/>
      <c r="O7" s="10"/>
      <c r="P7" s="10"/>
      <c r="Q7" s="81"/>
      <c r="R7" s="81"/>
      <c r="S7" s="82"/>
      <c r="T7" s="83"/>
      <c r="U7" s="84"/>
      <c r="V7" s="84"/>
      <c r="W7" s="84"/>
      <c r="X7" s="84"/>
      <c r="Y7" s="84"/>
      <c r="Z7" s="84"/>
      <c r="AA7" s="88">
        <f t="shared" si="0"/>
        <v>0</v>
      </c>
      <c r="AB7" s="27" t="e">
        <f t="shared" si="3"/>
        <v>#DIV/0!</v>
      </c>
      <c r="AC7" s="28" t="e">
        <f>VLOOKUP(AB7,Grading!$A$1:$B$102,2,TRUE)</f>
        <v>#DIV/0!</v>
      </c>
      <c r="AD7" s="48"/>
      <c r="AE7" s="27">
        <f t="shared" si="1"/>
        <v>0</v>
      </c>
      <c r="AF7" s="27">
        <f t="shared" si="4"/>
        <v>0</v>
      </c>
      <c r="AG7" s="28">
        <f>VLOOKUP(AF7,Grading!$A$1:$B$102,2,TRUE)</f>
        <v>5</v>
      </c>
      <c r="AH7" s="11"/>
      <c r="AI7" s="27">
        <f t="shared" si="5"/>
        <v>0</v>
      </c>
      <c r="AJ7" s="28">
        <f>VLOOKUP(AI7,Grading!$A$1:$B$102,2,TRUE)</f>
        <v>5</v>
      </c>
      <c r="AK7" s="28" t="e">
        <f t="shared" si="2"/>
        <v>#DIV/0!</v>
      </c>
      <c r="AL7" s="39" t="e">
        <f t="shared" si="6"/>
        <v>#DIV/0!</v>
      </c>
    </row>
    <row r="8" ht="14.25" customHeight="1" spans="1:38">
      <c r="A8" s="11">
        <v>3</v>
      </c>
      <c r="B8" s="67"/>
      <c r="C8" s="35"/>
      <c r="D8" s="68"/>
      <c r="E8" s="68"/>
      <c r="F8" s="68"/>
      <c r="G8" s="68"/>
      <c r="H8" s="68"/>
      <c r="I8" s="68"/>
      <c r="J8" s="68"/>
      <c r="K8" s="68"/>
      <c r="L8" s="68"/>
      <c r="M8" s="10"/>
      <c r="N8" s="10"/>
      <c r="O8" s="10"/>
      <c r="P8" s="10"/>
      <c r="Q8" s="81"/>
      <c r="R8" s="81"/>
      <c r="S8" s="82"/>
      <c r="T8" s="83"/>
      <c r="U8" s="84"/>
      <c r="V8" s="84"/>
      <c r="W8" s="84"/>
      <c r="X8" s="84"/>
      <c r="Y8" s="84"/>
      <c r="Z8" s="84"/>
      <c r="AA8" s="88">
        <f t="shared" si="0"/>
        <v>0</v>
      </c>
      <c r="AB8" s="27" t="e">
        <f t="shared" si="3"/>
        <v>#DIV/0!</v>
      </c>
      <c r="AC8" s="28" t="e">
        <f>VLOOKUP(AB8,Grading!$A$1:$B$102,2,TRUE)</f>
        <v>#DIV/0!</v>
      </c>
      <c r="AD8" s="48"/>
      <c r="AE8" s="27">
        <f t="shared" si="1"/>
        <v>0</v>
      </c>
      <c r="AF8" s="27">
        <f t="shared" si="4"/>
        <v>0</v>
      </c>
      <c r="AG8" s="28">
        <f>VLOOKUP(AF8,Grading!$A$1:$B$102,2,TRUE)</f>
        <v>5</v>
      </c>
      <c r="AH8" s="11"/>
      <c r="AI8" s="27">
        <f t="shared" si="5"/>
        <v>0</v>
      </c>
      <c r="AJ8" s="28">
        <f>VLOOKUP(AI8,Grading!$A$1:$B$102,2,TRUE)</f>
        <v>5</v>
      </c>
      <c r="AK8" s="28" t="e">
        <f t="shared" si="2"/>
        <v>#DIV/0!</v>
      </c>
      <c r="AL8" s="39" t="e">
        <f t="shared" si="6"/>
        <v>#DIV/0!</v>
      </c>
    </row>
    <row r="9" ht="14.25" customHeight="1" spans="1:38">
      <c r="A9" s="11">
        <v>4</v>
      </c>
      <c r="B9" s="67"/>
      <c r="C9" s="35"/>
      <c r="D9" s="68"/>
      <c r="E9" s="68"/>
      <c r="F9" s="68"/>
      <c r="G9" s="68"/>
      <c r="H9" s="68"/>
      <c r="I9" s="68"/>
      <c r="J9" s="68"/>
      <c r="K9" s="68"/>
      <c r="L9" s="68"/>
      <c r="M9" s="10"/>
      <c r="N9" s="10"/>
      <c r="O9" s="10"/>
      <c r="P9" s="10"/>
      <c r="Q9" s="81"/>
      <c r="R9" s="81"/>
      <c r="S9" s="82"/>
      <c r="T9" s="85"/>
      <c r="U9" s="84"/>
      <c r="V9" s="86"/>
      <c r="W9" s="84"/>
      <c r="X9" s="84"/>
      <c r="Y9" s="84"/>
      <c r="Z9" s="84"/>
      <c r="AA9" s="88">
        <f t="shared" si="0"/>
        <v>0</v>
      </c>
      <c r="AB9" s="27" t="e">
        <f t="shared" si="3"/>
        <v>#DIV/0!</v>
      </c>
      <c r="AC9" s="28" t="e">
        <f>VLOOKUP(AB9,Grading!$A$1:$B$102,2,TRUE)</f>
        <v>#DIV/0!</v>
      </c>
      <c r="AD9" s="48"/>
      <c r="AE9" s="27">
        <f t="shared" si="1"/>
        <v>0</v>
      </c>
      <c r="AF9" s="27">
        <f t="shared" si="4"/>
        <v>0</v>
      </c>
      <c r="AG9" s="28">
        <f>VLOOKUP(AF9,Grading!$A$1:$B$102,2,TRUE)</f>
        <v>5</v>
      </c>
      <c r="AH9" s="11"/>
      <c r="AI9" s="27">
        <f t="shared" si="5"/>
        <v>0</v>
      </c>
      <c r="AJ9" s="28">
        <f>VLOOKUP(AI9,Grading!$A$1:$B$102,2,TRUE)</f>
        <v>5</v>
      </c>
      <c r="AK9" s="28" t="e">
        <f t="shared" si="2"/>
        <v>#DIV/0!</v>
      </c>
      <c r="AL9" s="39" t="e">
        <f t="shared" si="6"/>
        <v>#DIV/0!</v>
      </c>
    </row>
    <row r="10" ht="14.25" customHeight="1" spans="1:38">
      <c r="A10" s="11">
        <v>5</v>
      </c>
      <c r="B10" s="67"/>
      <c r="C10" s="37"/>
      <c r="D10" s="68"/>
      <c r="E10" s="68"/>
      <c r="F10" s="68"/>
      <c r="G10" s="68"/>
      <c r="H10" s="68"/>
      <c r="I10" s="68"/>
      <c r="J10" s="68"/>
      <c r="K10" s="68"/>
      <c r="L10" s="68"/>
      <c r="M10" s="10"/>
      <c r="N10" s="10"/>
      <c r="O10" s="10"/>
      <c r="P10" s="10"/>
      <c r="Q10" s="81"/>
      <c r="R10" s="81"/>
      <c r="S10" s="82"/>
      <c r="T10" s="83"/>
      <c r="U10" s="84"/>
      <c r="V10" s="84"/>
      <c r="W10" s="84"/>
      <c r="X10" s="84"/>
      <c r="Y10" s="84"/>
      <c r="Z10" s="84"/>
      <c r="AA10" s="88">
        <f t="shared" si="0"/>
        <v>0</v>
      </c>
      <c r="AB10" s="27" t="e">
        <f t="shared" si="3"/>
        <v>#DIV/0!</v>
      </c>
      <c r="AC10" s="28" t="e">
        <f>VLOOKUP(AB10,Grading!$A$1:$B$102,2,TRUE)</f>
        <v>#DIV/0!</v>
      </c>
      <c r="AD10" s="48"/>
      <c r="AE10" s="27">
        <f t="shared" si="1"/>
        <v>0</v>
      </c>
      <c r="AF10" s="27">
        <f t="shared" si="4"/>
        <v>0</v>
      </c>
      <c r="AG10" s="28">
        <f>VLOOKUP(AF10,Grading!$A$1:$B$102,2,TRUE)</f>
        <v>5</v>
      </c>
      <c r="AH10" s="11"/>
      <c r="AI10" s="27">
        <f t="shared" si="5"/>
        <v>0</v>
      </c>
      <c r="AJ10" s="28">
        <f>VLOOKUP(AI10,Grading!$A$1:$B$102,2,TRUE)</f>
        <v>5</v>
      </c>
      <c r="AK10" s="28" t="e">
        <f t="shared" si="2"/>
        <v>#DIV/0!</v>
      </c>
      <c r="AL10" s="39" t="e">
        <f t="shared" si="6"/>
        <v>#DIV/0!</v>
      </c>
    </row>
    <row r="11" ht="14.25" customHeight="1" spans="1:38">
      <c r="A11" s="11">
        <v>6</v>
      </c>
      <c r="B11" s="67"/>
      <c r="C11" s="35"/>
      <c r="D11" s="68"/>
      <c r="E11" s="68"/>
      <c r="F11" s="68"/>
      <c r="G11" s="68"/>
      <c r="H11" s="68"/>
      <c r="I11" s="68"/>
      <c r="J11" s="68"/>
      <c r="K11" s="68"/>
      <c r="L11" s="68"/>
      <c r="M11" s="10"/>
      <c r="N11" s="10"/>
      <c r="O11" s="10"/>
      <c r="P11" s="10"/>
      <c r="Q11" s="81"/>
      <c r="R11" s="81"/>
      <c r="S11" s="82"/>
      <c r="T11" s="83"/>
      <c r="U11" s="84"/>
      <c r="V11" s="84"/>
      <c r="W11" s="84"/>
      <c r="X11" s="84"/>
      <c r="Y11" s="84"/>
      <c r="Z11" s="84"/>
      <c r="AA11" s="88">
        <f t="shared" si="0"/>
        <v>0</v>
      </c>
      <c r="AB11" s="27" t="e">
        <f t="shared" si="3"/>
        <v>#DIV/0!</v>
      </c>
      <c r="AC11" s="28" t="e">
        <f>VLOOKUP(AB11,Grading!$A$1:$B$102,2,TRUE)</f>
        <v>#DIV/0!</v>
      </c>
      <c r="AD11" s="48"/>
      <c r="AE11" s="27">
        <f t="shared" si="1"/>
        <v>0</v>
      </c>
      <c r="AF11" s="27">
        <f t="shared" si="4"/>
        <v>0</v>
      </c>
      <c r="AG11" s="28">
        <f>VLOOKUP(AF11,Grading!$A$1:$B$102,2,TRUE)</f>
        <v>5</v>
      </c>
      <c r="AH11" s="11"/>
      <c r="AI11" s="27">
        <f t="shared" si="5"/>
        <v>0</v>
      </c>
      <c r="AJ11" s="28">
        <f>VLOOKUP(AI11,Grading!$A$1:$B$102,2,TRUE)</f>
        <v>5</v>
      </c>
      <c r="AK11" s="28" t="e">
        <f t="shared" si="2"/>
        <v>#DIV/0!</v>
      </c>
      <c r="AL11" s="39" t="e">
        <f t="shared" si="6"/>
        <v>#DIV/0!</v>
      </c>
    </row>
    <row r="12" ht="14.25" customHeight="1" spans="1:38">
      <c r="A12" s="11">
        <v>7</v>
      </c>
      <c r="B12" s="67"/>
      <c r="C12" s="37"/>
      <c r="D12" s="68"/>
      <c r="E12" s="68"/>
      <c r="F12" s="68"/>
      <c r="G12" s="68"/>
      <c r="H12" s="68"/>
      <c r="I12" s="68"/>
      <c r="J12" s="68"/>
      <c r="K12" s="68"/>
      <c r="L12" s="68"/>
      <c r="M12" s="10"/>
      <c r="N12" s="10"/>
      <c r="O12" s="10"/>
      <c r="P12" s="10"/>
      <c r="Q12" s="81"/>
      <c r="R12" s="81"/>
      <c r="S12" s="82"/>
      <c r="T12" s="83"/>
      <c r="U12" s="84"/>
      <c r="V12" s="84"/>
      <c r="W12" s="84"/>
      <c r="X12" s="84"/>
      <c r="Y12" s="84"/>
      <c r="Z12" s="84"/>
      <c r="AA12" s="88">
        <f t="shared" si="0"/>
        <v>0</v>
      </c>
      <c r="AB12" s="27" t="e">
        <f t="shared" si="3"/>
        <v>#DIV/0!</v>
      </c>
      <c r="AC12" s="28" t="e">
        <f>VLOOKUP(AB12,Grading!$A$1:$B$102,2,TRUE)</f>
        <v>#DIV/0!</v>
      </c>
      <c r="AD12" s="48"/>
      <c r="AE12" s="27">
        <f t="shared" si="1"/>
        <v>0</v>
      </c>
      <c r="AF12" s="27">
        <f t="shared" si="4"/>
        <v>0</v>
      </c>
      <c r="AG12" s="28">
        <f>VLOOKUP(AF12,Grading!$A$1:$B$102,2,TRUE)</f>
        <v>5</v>
      </c>
      <c r="AH12" s="11"/>
      <c r="AI12" s="27">
        <f t="shared" si="5"/>
        <v>0</v>
      </c>
      <c r="AJ12" s="28">
        <f>VLOOKUP(AI12,Grading!$A$1:$B$102,2,TRUE)</f>
        <v>5</v>
      </c>
      <c r="AK12" s="28" t="e">
        <f t="shared" si="2"/>
        <v>#DIV/0!</v>
      </c>
      <c r="AL12" s="39" t="e">
        <f t="shared" si="6"/>
        <v>#DIV/0!</v>
      </c>
    </row>
    <row r="13" ht="14.25" customHeight="1" spans="1:38">
      <c r="A13" s="11">
        <v>8</v>
      </c>
      <c r="B13" s="67"/>
      <c r="C13" s="37"/>
      <c r="D13" s="68"/>
      <c r="E13" s="68"/>
      <c r="F13" s="68"/>
      <c r="G13" s="68"/>
      <c r="H13" s="68"/>
      <c r="I13" s="68"/>
      <c r="J13" s="68"/>
      <c r="K13" s="68"/>
      <c r="L13" s="68"/>
      <c r="M13" s="10"/>
      <c r="N13" s="10"/>
      <c r="O13" s="10"/>
      <c r="P13" s="10"/>
      <c r="Q13" s="81"/>
      <c r="R13" s="81"/>
      <c r="S13" s="82"/>
      <c r="T13" s="85"/>
      <c r="U13" s="84"/>
      <c r="V13" s="84"/>
      <c r="W13" s="84"/>
      <c r="X13" s="84"/>
      <c r="Y13" s="84"/>
      <c r="Z13" s="84"/>
      <c r="AA13" s="88">
        <f t="shared" si="0"/>
        <v>0</v>
      </c>
      <c r="AB13" s="27" t="e">
        <f t="shared" si="3"/>
        <v>#DIV/0!</v>
      </c>
      <c r="AC13" s="28" t="e">
        <f>VLOOKUP(AB13,Grading!$A$1:$B$102,2,TRUE)</f>
        <v>#DIV/0!</v>
      </c>
      <c r="AD13" s="48"/>
      <c r="AE13" s="27">
        <f t="shared" si="1"/>
        <v>0</v>
      </c>
      <c r="AF13" s="27">
        <f t="shared" si="4"/>
        <v>0</v>
      </c>
      <c r="AG13" s="28">
        <f>VLOOKUP(AF13,Grading!$A$1:$B$102,2,TRUE)</f>
        <v>5</v>
      </c>
      <c r="AH13" s="11"/>
      <c r="AI13" s="27">
        <f t="shared" si="5"/>
        <v>0</v>
      </c>
      <c r="AJ13" s="28">
        <f>VLOOKUP(AI13,Grading!$A$1:$B$102,2,TRUE)</f>
        <v>5</v>
      </c>
      <c r="AK13" s="28" t="e">
        <f t="shared" si="2"/>
        <v>#DIV/0!</v>
      </c>
      <c r="AL13" s="39" t="e">
        <f t="shared" si="6"/>
        <v>#DIV/0!</v>
      </c>
    </row>
    <row r="14" ht="14.25" customHeight="1" spans="1:38">
      <c r="A14" s="11">
        <v>9</v>
      </c>
      <c r="B14" s="67"/>
      <c r="C14" s="35"/>
      <c r="D14" s="68"/>
      <c r="E14" s="68"/>
      <c r="F14" s="68"/>
      <c r="G14" s="68"/>
      <c r="H14" s="68"/>
      <c r="I14" s="68"/>
      <c r="J14" s="68"/>
      <c r="K14" s="68"/>
      <c r="L14" s="68"/>
      <c r="M14" s="10"/>
      <c r="N14" s="10"/>
      <c r="O14" s="10"/>
      <c r="P14" s="10"/>
      <c r="Q14" s="81"/>
      <c r="R14" s="81"/>
      <c r="S14" s="82"/>
      <c r="T14" s="85"/>
      <c r="U14" s="84"/>
      <c r="V14" s="84"/>
      <c r="W14" s="84"/>
      <c r="X14" s="84"/>
      <c r="Y14" s="84"/>
      <c r="Z14" s="84"/>
      <c r="AA14" s="88">
        <f t="shared" si="0"/>
        <v>0</v>
      </c>
      <c r="AB14" s="27" t="e">
        <f t="shared" si="3"/>
        <v>#DIV/0!</v>
      </c>
      <c r="AC14" s="28" t="e">
        <f>VLOOKUP(AB14,Grading!$A$1:$B$102,2,TRUE)</f>
        <v>#DIV/0!</v>
      </c>
      <c r="AD14" s="48"/>
      <c r="AE14" s="27">
        <f t="shared" si="1"/>
        <v>0</v>
      </c>
      <c r="AF14" s="27">
        <f t="shared" si="4"/>
        <v>0</v>
      </c>
      <c r="AG14" s="28">
        <f>VLOOKUP(AF14,Grading!$A$1:$B$102,2,TRUE)</f>
        <v>5</v>
      </c>
      <c r="AH14" s="11"/>
      <c r="AI14" s="27">
        <f t="shared" si="5"/>
        <v>0</v>
      </c>
      <c r="AJ14" s="28">
        <f>VLOOKUP(AI14,Grading!$A$1:$B$102,2,TRUE)</f>
        <v>5</v>
      </c>
      <c r="AK14" s="28" t="e">
        <f t="shared" si="2"/>
        <v>#DIV/0!</v>
      </c>
      <c r="AL14" s="39" t="e">
        <f t="shared" si="6"/>
        <v>#DIV/0!</v>
      </c>
    </row>
    <row r="15" ht="14.25" customHeight="1" spans="1:38">
      <c r="A15" s="11">
        <v>10</v>
      </c>
      <c r="B15" s="67"/>
      <c r="C15" s="37"/>
      <c r="D15" s="68"/>
      <c r="E15" s="68"/>
      <c r="F15" s="68"/>
      <c r="G15" s="68"/>
      <c r="H15" s="68"/>
      <c r="I15" s="68"/>
      <c r="J15" s="68"/>
      <c r="K15" s="68"/>
      <c r="L15" s="68"/>
      <c r="M15" s="10"/>
      <c r="N15" s="10"/>
      <c r="O15" s="10"/>
      <c r="P15" s="10"/>
      <c r="Q15" s="81"/>
      <c r="R15" s="81"/>
      <c r="S15" s="82"/>
      <c r="T15" s="83"/>
      <c r="U15" s="84"/>
      <c r="V15" s="84"/>
      <c r="W15" s="84"/>
      <c r="X15" s="84"/>
      <c r="Y15" s="86"/>
      <c r="Z15" s="84"/>
      <c r="AA15" s="88">
        <f t="shared" si="0"/>
        <v>0</v>
      </c>
      <c r="AB15" s="27" t="e">
        <f t="shared" si="3"/>
        <v>#DIV/0!</v>
      </c>
      <c r="AC15" s="28" t="e">
        <f>VLOOKUP(AB15,Grading!$A$1:$B$102,2,TRUE)</f>
        <v>#DIV/0!</v>
      </c>
      <c r="AD15" s="48"/>
      <c r="AE15" s="27">
        <f t="shared" si="1"/>
        <v>0</v>
      </c>
      <c r="AF15" s="27">
        <f t="shared" si="4"/>
        <v>0</v>
      </c>
      <c r="AG15" s="28">
        <f>VLOOKUP(AF15,Grading!$A$1:$B$102,2,TRUE)</f>
        <v>5</v>
      </c>
      <c r="AH15" s="11"/>
      <c r="AI15" s="27">
        <f t="shared" si="5"/>
        <v>0</v>
      </c>
      <c r="AJ15" s="28">
        <f>VLOOKUP(AI15,Grading!$A$1:$B$102,2,TRUE)</f>
        <v>5</v>
      </c>
      <c r="AK15" s="28" t="e">
        <f t="shared" si="2"/>
        <v>#DIV/0!</v>
      </c>
      <c r="AL15" s="39" t="e">
        <f t="shared" si="6"/>
        <v>#DIV/0!</v>
      </c>
    </row>
    <row r="16" ht="14.25" customHeight="1" spans="1:38">
      <c r="A16" s="11">
        <v>11</v>
      </c>
      <c r="B16" s="67"/>
      <c r="C16" s="35"/>
      <c r="D16" s="68"/>
      <c r="E16" s="68"/>
      <c r="F16" s="68"/>
      <c r="G16" s="68"/>
      <c r="H16" s="68"/>
      <c r="I16" s="68"/>
      <c r="J16" s="68"/>
      <c r="K16" s="68"/>
      <c r="L16" s="68"/>
      <c r="M16" s="10"/>
      <c r="N16" s="10"/>
      <c r="O16" s="10"/>
      <c r="P16" s="10"/>
      <c r="Q16" s="81"/>
      <c r="R16" s="81"/>
      <c r="S16" s="82"/>
      <c r="T16" s="83"/>
      <c r="U16" s="84"/>
      <c r="V16" s="84"/>
      <c r="W16" s="84"/>
      <c r="X16" s="84"/>
      <c r="Y16" s="84"/>
      <c r="Z16" s="84"/>
      <c r="AA16" s="88">
        <f t="shared" si="0"/>
        <v>0</v>
      </c>
      <c r="AB16" s="27" t="e">
        <f t="shared" si="3"/>
        <v>#DIV/0!</v>
      </c>
      <c r="AC16" s="28" t="e">
        <f>VLOOKUP(AB16,Grading!$A$1:$B$102,2,TRUE)</f>
        <v>#DIV/0!</v>
      </c>
      <c r="AD16" s="48"/>
      <c r="AE16" s="27">
        <f t="shared" si="1"/>
        <v>0</v>
      </c>
      <c r="AF16" s="27">
        <f t="shared" si="4"/>
        <v>0</v>
      </c>
      <c r="AG16" s="28">
        <f>VLOOKUP(AF16,Grading!$A$1:$B$102,2,TRUE)</f>
        <v>5</v>
      </c>
      <c r="AH16" s="11"/>
      <c r="AI16" s="27">
        <f t="shared" si="5"/>
        <v>0</v>
      </c>
      <c r="AJ16" s="28">
        <f>VLOOKUP(AI16,Grading!$A$1:$B$102,2,TRUE)</f>
        <v>5</v>
      </c>
      <c r="AK16" s="28" t="e">
        <f t="shared" si="2"/>
        <v>#DIV/0!</v>
      </c>
      <c r="AL16" s="39" t="e">
        <f t="shared" si="6"/>
        <v>#DIV/0!</v>
      </c>
    </row>
    <row r="17" ht="14.25" customHeight="1" spans="1:38">
      <c r="A17" s="11">
        <v>12</v>
      </c>
      <c r="B17" s="67"/>
      <c r="C17" s="37"/>
      <c r="D17" s="68"/>
      <c r="E17" s="68"/>
      <c r="F17" s="68"/>
      <c r="G17" s="68"/>
      <c r="H17" s="68"/>
      <c r="I17" s="68"/>
      <c r="J17" s="68"/>
      <c r="K17" s="68"/>
      <c r="L17" s="68"/>
      <c r="M17" s="10"/>
      <c r="N17" s="10"/>
      <c r="O17" s="10"/>
      <c r="P17" s="10"/>
      <c r="Q17" s="81"/>
      <c r="R17" s="81"/>
      <c r="S17" s="82"/>
      <c r="T17" s="83"/>
      <c r="U17" s="84"/>
      <c r="V17" s="84"/>
      <c r="W17" s="84"/>
      <c r="X17" s="84"/>
      <c r="Y17" s="84"/>
      <c r="Z17" s="84"/>
      <c r="AA17" s="88">
        <f t="shared" si="0"/>
        <v>0</v>
      </c>
      <c r="AB17" s="27" t="e">
        <f t="shared" si="3"/>
        <v>#DIV/0!</v>
      </c>
      <c r="AC17" s="28" t="e">
        <f>VLOOKUP(AB17,Grading!$A$1:$B$102,2,TRUE)</f>
        <v>#DIV/0!</v>
      </c>
      <c r="AD17" s="48"/>
      <c r="AE17" s="27">
        <f t="shared" si="1"/>
        <v>0</v>
      </c>
      <c r="AF17" s="27">
        <f t="shared" si="4"/>
        <v>0</v>
      </c>
      <c r="AG17" s="28">
        <f>VLOOKUP(AF17,Grading!$A$1:$B$102,2,TRUE)</f>
        <v>5</v>
      </c>
      <c r="AH17" s="11"/>
      <c r="AI17" s="27">
        <f t="shared" si="5"/>
        <v>0</v>
      </c>
      <c r="AJ17" s="28">
        <f>VLOOKUP(AI17,Grading!$A$1:$B$102,2,TRUE)</f>
        <v>5</v>
      </c>
      <c r="AK17" s="28" t="e">
        <f t="shared" si="2"/>
        <v>#DIV/0!</v>
      </c>
      <c r="AL17" s="39" t="e">
        <f t="shared" si="6"/>
        <v>#DIV/0!</v>
      </c>
    </row>
    <row r="18" ht="14.25" customHeight="1" spans="1:38">
      <c r="A18" s="11">
        <v>13</v>
      </c>
      <c r="B18" s="67"/>
      <c r="C18" s="37"/>
      <c r="D18" s="68"/>
      <c r="E18" s="68"/>
      <c r="F18" s="68"/>
      <c r="G18" s="68"/>
      <c r="H18" s="68"/>
      <c r="I18" s="68"/>
      <c r="J18" s="68"/>
      <c r="K18" s="68"/>
      <c r="L18" s="68"/>
      <c r="M18" s="10"/>
      <c r="N18" s="10"/>
      <c r="O18" s="10"/>
      <c r="P18" s="10"/>
      <c r="Q18" s="81"/>
      <c r="R18" s="81"/>
      <c r="S18" s="82"/>
      <c r="T18" s="83"/>
      <c r="U18" s="84"/>
      <c r="V18" s="84"/>
      <c r="W18" s="84"/>
      <c r="X18" s="84"/>
      <c r="Y18" s="84"/>
      <c r="Z18" s="84"/>
      <c r="AA18" s="88">
        <f t="shared" si="0"/>
        <v>0</v>
      </c>
      <c r="AB18" s="27" t="e">
        <f t="shared" si="3"/>
        <v>#DIV/0!</v>
      </c>
      <c r="AC18" s="28" t="e">
        <f>VLOOKUP(AB18,Grading!$A$1:$B$102,2,TRUE)</f>
        <v>#DIV/0!</v>
      </c>
      <c r="AD18" s="48"/>
      <c r="AE18" s="27">
        <f t="shared" si="1"/>
        <v>0</v>
      </c>
      <c r="AF18" s="27">
        <f t="shared" si="4"/>
        <v>0</v>
      </c>
      <c r="AG18" s="28">
        <f>VLOOKUP(AF18,Grading!$A$1:$B$102,2,TRUE)</f>
        <v>5</v>
      </c>
      <c r="AH18" s="11"/>
      <c r="AI18" s="27">
        <f t="shared" si="5"/>
        <v>0</v>
      </c>
      <c r="AJ18" s="28">
        <f>VLOOKUP(AI18,Grading!$A$1:$B$102,2,TRUE)</f>
        <v>5</v>
      </c>
      <c r="AK18" s="28" t="e">
        <f t="shared" si="2"/>
        <v>#DIV/0!</v>
      </c>
      <c r="AL18" s="39" t="e">
        <f t="shared" si="6"/>
        <v>#DIV/0!</v>
      </c>
    </row>
    <row r="19" ht="14.25" customHeight="1" spans="1:38">
      <c r="A19" s="11">
        <v>14</v>
      </c>
      <c r="B19" s="67"/>
      <c r="C19" s="35"/>
      <c r="D19" s="68"/>
      <c r="E19" s="68"/>
      <c r="F19" s="68"/>
      <c r="G19" s="68"/>
      <c r="H19" s="68"/>
      <c r="I19" s="68"/>
      <c r="J19" s="68"/>
      <c r="K19" s="68"/>
      <c r="L19" s="68"/>
      <c r="M19" s="10"/>
      <c r="N19" s="10"/>
      <c r="O19" s="10"/>
      <c r="P19" s="10"/>
      <c r="Q19" s="81"/>
      <c r="R19" s="81"/>
      <c r="S19" s="82"/>
      <c r="T19" s="83"/>
      <c r="U19" s="84"/>
      <c r="V19" s="84"/>
      <c r="W19" s="84"/>
      <c r="X19" s="84"/>
      <c r="Y19" s="84"/>
      <c r="Z19" s="84"/>
      <c r="AA19" s="88">
        <f t="shared" si="0"/>
        <v>0</v>
      </c>
      <c r="AB19" s="27" t="e">
        <f t="shared" si="3"/>
        <v>#DIV/0!</v>
      </c>
      <c r="AC19" s="28" t="e">
        <f>VLOOKUP(AB19,Grading!$A$1:$B$102,2,TRUE)</f>
        <v>#DIV/0!</v>
      </c>
      <c r="AD19" s="48"/>
      <c r="AE19" s="27">
        <f t="shared" si="1"/>
        <v>0</v>
      </c>
      <c r="AF19" s="27">
        <f t="shared" si="4"/>
        <v>0</v>
      </c>
      <c r="AG19" s="28">
        <f>VLOOKUP(AF19,Grading!$A$1:$B$102,2,TRUE)</f>
        <v>5</v>
      </c>
      <c r="AH19" s="11"/>
      <c r="AI19" s="27">
        <f t="shared" si="5"/>
        <v>0</v>
      </c>
      <c r="AJ19" s="28">
        <f>VLOOKUP(AI19,Grading!$A$1:$B$102,2,TRUE)</f>
        <v>5</v>
      </c>
      <c r="AK19" s="28" t="e">
        <f t="shared" si="2"/>
        <v>#DIV/0!</v>
      </c>
      <c r="AL19" s="39" t="e">
        <f t="shared" si="6"/>
        <v>#DIV/0!</v>
      </c>
    </row>
    <row r="20" ht="14.25" customHeight="1" spans="1:38">
      <c r="A20" s="11">
        <v>15</v>
      </c>
      <c r="B20" s="67"/>
      <c r="C20" s="37"/>
      <c r="D20" s="68"/>
      <c r="E20" s="68"/>
      <c r="F20" s="68"/>
      <c r="G20" s="68"/>
      <c r="H20" s="68"/>
      <c r="I20" s="68"/>
      <c r="J20" s="68"/>
      <c r="K20" s="68"/>
      <c r="L20" s="68"/>
      <c r="M20" s="10"/>
      <c r="N20" s="10"/>
      <c r="O20" s="10"/>
      <c r="P20" s="10"/>
      <c r="Q20" s="81"/>
      <c r="R20" s="81"/>
      <c r="S20" s="82"/>
      <c r="T20" s="83"/>
      <c r="U20" s="84"/>
      <c r="V20" s="84"/>
      <c r="W20" s="84"/>
      <c r="X20" s="84"/>
      <c r="Y20" s="84"/>
      <c r="Z20" s="84"/>
      <c r="AA20" s="88">
        <f t="shared" si="0"/>
        <v>0</v>
      </c>
      <c r="AB20" s="27" t="e">
        <f t="shared" si="3"/>
        <v>#DIV/0!</v>
      </c>
      <c r="AC20" s="28" t="e">
        <f>VLOOKUP(AB20,Grading!$A$1:$B$102,2,TRUE)</f>
        <v>#DIV/0!</v>
      </c>
      <c r="AD20" s="48"/>
      <c r="AE20" s="27">
        <f t="shared" si="1"/>
        <v>0</v>
      </c>
      <c r="AF20" s="27">
        <f t="shared" si="4"/>
        <v>0</v>
      </c>
      <c r="AG20" s="28">
        <f>VLOOKUP(AF20,Grading!$A$1:$B$102,2,TRUE)</f>
        <v>5</v>
      </c>
      <c r="AH20" s="11"/>
      <c r="AI20" s="27">
        <f t="shared" si="5"/>
        <v>0</v>
      </c>
      <c r="AJ20" s="28">
        <f>VLOOKUP(AI20,Grading!$A$1:$B$102,2,TRUE)</f>
        <v>5</v>
      </c>
      <c r="AK20" s="28" t="e">
        <f t="shared" si="2"/>
        <v>#DIV/0!</v>
      </c>
      <c r="AL20" s="39" t="e">
        <f t="shared" si="6"/>
        <v>#DIV/0!</v>
      </c>
    </row>
    <row r="21" ht="14.25" customHeight="1" spans="1:38">
      <c r="A21" s="11">
        <v>16</v>
      </c>
      <c r="B21" s="67"/>
      <c r="C21" s="35"/>
      <c r="D21" s="68"/>
      <c r="E21" s="68"/>
      <c r="F21" s="68"/>
      <c r="G21" s="68"/>
      <c r="H21" s="68"/>
      <c r="I21" s="68"/>
      <c r="J21" s="68"/>
      <c r="K21" s="68"/>
      <c r="L21" s="68"/>
      <c r="M21" s="10"/>
      <c r="N21" s="10"/>
      <c r="O21" s="10"/>
      <c r="P21" s="10"/>
      <c r="Q21" s="81"/>
      <c r="R21" s="81"/>
      <c r="S21" s="82"/>
      <c r="T21" s="83"/>
      <c r="U21" s="84"/>
      <c r="V21" s="84"/>
      <c r="W21" s="84"/>
      <c r="X21" s="84"/>
      <c r="Y21" s="84"/>
      <c r="Z21" s="84"/>
      <c r="AA21" s="88">
        <f t="shared" si="0"/>
        <v>0</v>
      </c>
      <c r="AB21" s="27" t="e">
        <f t="shared" si="3"/>
        <v>#DIV/0!</v>
      </c>
      <c r="AC21" s="28" t="e">
        <f>VLOOKUP(AB21,Grading!$A$1:$B$102,2,TRUE)</f>
        <v>#DIV/0!</v>
      </c>
      <c r="AD21" s="48"/>
      <c r="AE21" s="27">
        <f t="shared" si="1"/>
        <v>0</v>
      </c>
      <c r="AF21" s="27">
        <f t="shared" si="4"/>
        <v>0</v>
      </c>
      <c r="AG21" s="28">
        <f>VLOOKUP(AF21,Grading!$A$1:$B$102,2,TRUE)</f>
        <v>5</v>
      </c>
      <c r="AH21" s="11"/>
      <c r="AI21" s="27">
        <f t="shared" si="5"/>
        <v>0</v>
      </c>
      <c r="AJ21" s="28">
        <f>VLOOKUP(AI21,Grading!$A$1:$B$102,2,TRUE)</f>
        <v>5</v>
      </c>
      <c r="AK21" s="28" t="e">
        <f t="shared" si="2"/>
        <v>#DIV/0!</v>
      </c>
      <c r="AL21" s="39" t="e">
        <f t="shared" si="6"/>
        <v>#DIV/0!</v>
      </c>
    </row>
    <row r="22" ht="14.25" customHeight="1" spans="1:38">
      <c r="A22" s="11">
        <v>17</v>
      </c>
      <c r="B22" s="67"/>
      <c r="C22" s="37"/>
      <c r="D22" s="68"/>
      <c r="E22" s="68"/>
      <c r="F22" s="68"/>
      <c r="G22" s="68"/>
      <c r="H22" s="68"/>
      <c r="I22" s="68"/>
      <c r="J22" s="68"/>
      <c r="K22" s="68"/>
      <c r="L22" s="68"/>
      <c r="M22" s="10"/>
      <c r="N22" s="10"/>
      <c r="O22" s="10"/>
      <c r="P22" s="10"/>
      <c r="Q22" s="81"/>
      <c r="R22" s="81"/>
      <c r="S22" s="82"/>
      <c r="T22" s="83"/>
      <c r="U22" s="84"/>
      <c r="V22" s="84"/>
      <c r="W22" s="84"/>
      <c r="X22" s="84"/>
      <c r="Y22" s="84"/>
      <c r="Z22" s="84"/>
      <c r="AA22" s="88">
        <f t="shared" si="0"/>
        <v>0</v>
      </c>
      <c r="AB22" s="27" t="e">
        <f t="shared" si="3"/>
        <v>#DIV/0!</v>
      </c>
      <c r="AC22" s="28" t="e">
        <f>VLOOKUP(AB22,Grading!$A$1:$B$102,2,TRUE)</f>
        <v>#DIV/0!</v>
      </c>
      <c r="AD22" s="48"/>
      <c r="AE22" s="27">
        <f t="shared" si="1"/>
        <v>0</v>
      </c>
      <c r="AF22" s="27">
        <f t="shared" si="4"/>
        <v>0</v>
      </c>
      <c r="AG22" s="28">
        <f>VLOOKUP(AF22,Grading!$A$1:$B$102,2,TRUE)</f>
        <v>5</v>
      </c>
      <c r="AH22" s="11"/>
      <c r="AI22" s="27">
        <f t="shared" si="5"/>
        <v>0</v>
      </c>
      <c r="AJ22" s="28">
        <f>VLOOKUP(AI22,Grading!$A$1:$B$102,2,TRUE)</f>
        <v>5</v>
      </c>
      <c r="AK22" s="28" t="e">
        <f t="shared" si="2"/>
        <v>#DIV/0!</v>
      </c>
      <c r="AL22" s="39" t="e">
        <f t="shared" si="6"/>
        <v>#DIV/0!</v>
      </c>
    </row>
    <row r="23" ht="14.25" customHeight="1" spans="1:38">
      <c r="A23" s="11">
        <v>18</v>
      </c>
      <c r="B23" s="67"/>
      <c r="C23" s="37"/>
      <c r="D23" s="68"/>
      <c r="E23" s="68"/>
      <c r="F23" s="68"/>
      <c r="G23" s="68"/>
      <c r="H23" s="68"/>
      <c r="I23" s="68"/>
      <c r="J23" s="68"/>
      <c r="K23" s="68"/>
      <c r="L23" s="68"/>
      <c r="M23" s="10"/>
      <c r="N23" s="10"/>
      <c r="O23" s="10"/>
      <c r="P23" s="10"/>
      <c r="Q23" s="81"/>
      <c r="R23" s="81"/>
      <c r="S23" s="82"/>
      <c r="T23" s="85"/>
      <c r="U23" s="84"/>
      <c r="V23" s="84"/>
      <c r="W23" s="86"/>
      <c r="X23" s="86"/>
      <c r="Y23" s="86"/>
      <c r="Z23" s="86"/>
      <c r="AA23" s="88">
        <f t="shared" si="0"/>
        <v>0</v>
      </c>
      <c r="AB23" s="27" t="e">
        <f t="shared" si="3"/>
        <v>#DIV/0!</v>
      </c>
      <c r="AC23" s="28" t="e">
        <f>VLOOKUP(AB23,Grading!$A$1:$B$102,2,TRUE)</f>
        <v>#DIV/0!</v>
      </c>
      <c r="AD23" s="48"/>
      <c r="AE23" s="27">
        <f t="shared" si="1"/>
        <v>0</v>
      </c>
      <c r="AF23" s="27">
        <f t="shared" si="4"/>
        <v>0</v>
      </c>
      <c r="AG23" s="28">
        <f>VLOOKUP(AF23,Grading!$A$1:$B$102,2,TRUE)</f>
        <v>5</v>
      </c>
      <c r="AH23" s="11"/>
      <c r="AI23" s="27">
        <f t="shared" si="5"/>
        <v>0</v>
      </c>
      <c r="AJ23" s="28">
        <f>VLOOKUP(AI23,Grading!$A$1:$B$102,2,TRUE)</f>
        <v>5</v>
      </c>
      <c r="AK23" s="28" t="e">
        <f t="shared" si="2"/>
        <v>#DIV/0!</v>
      </c>
      <c r="AL23" s="39" t="e">
        <f t="shared" si="6"/>
        <v>#DIV/0!</v>
      </c>
    </row>
    <row r="24" ht="14.25" customHeight="1" spans="1:38">
      <c r="A24" s="11">
        <v>19</v>
      </c>
      <c r="B24" s="67"/>
      <c r="C24" s="35"/>
      <c r="D24" s="68"/>
      <c r="E24" s="68"/>
      <c r="F24" s="68"/>
      <c r="G24" s="68"/>
      <c r="H24" s="68"/>
      <c r="I24" s="68"/>
      <c r="J24" s="68"/>
      <c r="K24" s="68"/>
      <c r="L24" s="68"/>
      <c r="M24" s="10"/>
      <c r="N24" s="10"/>
      <c r="O24" s="10"/>
      <c r="P24" s="10"/>
      <c r="Q24" s="81"/>
      <c r="R24" s="81"/>
      <c r="S24" s="82"/>
      <c r="T24" s="83"/>
      <c r="U24" s="84"/>
      <c r="V24" s="84"/>
      <c r="W24" s="84"/>
      <c r="X24" s="84"/>
      <c r="Y24" s="84"/>
      <c r="Z24" s="84"/>
      <c r="AA24" s="88">
        <f t="shared" si="0"/>
        <v>0</v>
      </c>
      <c r="AB24" s="27" t="e">
        <f t="shared" si="3"/>
        <v>#DIV/0!</v>
      </c>
      <c r="AC24" s="28" t="e">
        <f>VLOOKUP(AB24,Grading!$A$1:$B$102,2,TRUE)</f>
        <v>#DIV/0!</v>
      </c>
      <c r="AD24" s="48"/>
      <c r="AE24" s="27">
        <f t="shared" si="1"/>
        <v>0</v>
      </c>
      <c r="AF24" s="27">
        <f t="shared" si="4"/>
        <v>0</v>
      </c>
      <c r="AG24" s="28">
        <f>VLOOKUP(AF24,Grading!$A$1:$B$102,2,TRUE)</f>
        <v>5</v>
      </c>
      <c r="AH24" s="11"/>
      <c r="AI24" s="27">
        <f t="shared" si="5"/>
        <v>0</v>
      </c>
      <c r="AJ24" s="28">
        <f>VLOOKUP(AI24,Grading!$A$1:$B$102,2,TRUE)</f>
        <v>5</v>
      </c>
      <c r="AK24" s="28" t="e">
        <f t="shared" si="2"/>
        <v>#DIV/0!</v>
      </c>
      <c r="AL24" s="39" t="e">
        <f t="shared" si="6"/>
        <v>#DIV/0!</v>
      </c>
    </row>
    <row r="25" ht="14.25" customHeight="1" spans="1:38">
      <c r="A25" s="11">
        <v>20</v>
      </c>
      <c r="B25" s="67"/>
      <c r="C25" s="37"/>
      <c r="D25" s="68"/>
      <c r="E25" s="68"/>
      <c r="F25" s="68"/>
      <c r="G25" s="68"/>
      <c r="H25" s="68"/>
      <c r="I25" s="68"/>
      <c r="J25" s="68"/>
      <c r="K25" s="68"/>
      <c r="L25" s="68"/>
      <c r="M25" s="10"/>
      <c r="N25" s="10"/>
      <c r="O25" s="10"/>
      <c r="P25" s="10"/>
      <c r="Q25" s="81"/>
      <c r="R25" s="81"/>
      <c r="S25" s="82"/>
      <c r="T25" s="83"/>
      <c r="U25" s="84"/>
      <c r="V25" s="84"/>
      <c r="W25" s="84"/>
      <c r="X25" s="84"/>
      <c r="Y25" s="84"/>
      <c r="Z25" s="84"/>
      <c r="AA25" s="88">
        <f t="shared" si="0"/>
        <v>0</v>
      </c>
      <c r="AB25" s="27" t="e">
        <f t="shared" si="3"/>
        <v>#DIV/0!</v>
      </c>
      <c r="AC25" s="28" t="e">
        <f>VLOOKUP(AB25,Grading!$A$1:$B$102,2,TRUE)</f>
        <v>#DIV/0!</v>
      </c>
      <c r="AD25" s="48"/>
      <c r="AE25" s="27">
        <f t="shared" si="1"/>
        <v>0</v>
      </c>
      <c r="AF25" s="27">
        <f t="shared" si="4"/>
        <v>0</v>
      </c>
      <c r="AG25" s="28">
        <f>VLOOKUP(AF25,Grading!$A$1:$B$102,2,TRUE)</f>
        <v>5</v>
      </c>
      <c r="AH25" s="11"/>
      <c r="AI25" s="27">
        <f t="shared" si="5"/>
        <v>0</v>
      </c>
      <c r="AJ25" s="28">
        <f>VLOOKUP(AI25,Grading!$A$1:$B$102,2,TRUE)</f>
        <v>5</v>
      </c>
      <c r="AK25" s="28" t="e">
        <f t="shared" si="2"/>
        <v>#DIV/0!</v>
      </c>
      <c r="AL25" s="39" t="e">
        <f t="shared" si="6"/>
        <v>#DIV/0!</v>
      </c>
    </row>
    <row r="26" ht="14.25" customHeight="1" spans="1:38">
      <c r="A26" s="11">
        <v>21</v>
      </c>
      <c r="B26" s="67"/>
      <c r="C26" s="35"/>
      <c r="D26" s="68"/>
      <c r="E26" s="68"/>
      <c r="F26" s="68"/>
      <c r="G26" s="68"/>
      <c r="H26" s="68"/>
      <c r="I26" s="68"/>
      <c r="J26" s="68"/>
      <c r="K26" s="68"/>
      <c r="L26" s="68"/>
      <c r="M26" s="10"/>
      <c r="N26" s="10"/>
      <c r="O26" s="10"/>
      <c r="P26" s="10"/>
      <c r="Q26" s="81"/>
      <c r="R26" s="81"/>
      <c r="S26" s="82"/>
      <c r="T26" s="85"/>
      <c r="U26" s="84"/>
      <c r="V26" s="84"/>
      <c r="W26" s="84"/>
      <c r="X26" s="84"/>
      <c r="Y26" s="84"/>
      <c r="Z26" s="84"/>
      <c r="AA26" s="88">
        <f t="shared" si="0"/>
        <v>0</v>
      </c>
      <c r="AB26" s="27" t="e">
        <f t="shared" si="3"/>
        <v>#DIV/0!</v>
      </c>
      <c r="AC26" s="28" t="e">
        <f>VLOOKUP(AB26,Grading!$A$1:$B$102,2,TRUE)</f>
        <v>#DIV/0!</v>
      </c>
      <c r="AD26" s="48"/>
      <c r="AE26" s="27">
        <f t="shared" si="1"/>
        <v>0</v>
      </c>
      <c r="AF26" s="27">
        <f t="shared" si="4"/>
        <v>0</v>
      </c>
      <c r="AG26" s="28">
        <f>VLOOKUP(AF26,Grading!$A$1:$B$102,2,TRUE)</f>
        <v>5</v>
      </c>
      <c r="AH26" s="11"/>
      <c r="AI26" s="27">
        <f t="shared" si="5"/>
        <v>0</v>
      </c>
      <c r="AJ26" s="28">
        <f>VLOOKUP(AI26,Grading!$A$1:$B$102,2,TRUE)</f>
        <v>5</v>
      </c>
      <c r="AK26" s="28" t="e">
        <f t="shared" si="2"/>
        <v>#DIV/0!</v>
      </c>
      <c r="AL26" s="39" t="e">
        <f t="shared" si="6"/>
        <v>#DIV/0!</v>
      </c>
    </row>
    <row r="27" ht="14.25" customHeight="1" spans="1:38">
      <c r="A27" s="11">
        <v>22</v>
      </c>
      <c r="B27" s="67"/>
      <c r="C27" s="37"/>
      <c r="D27" s="68"/>
      <c r="E27" s="68"/>
      <c r="F27" s="68"/>
      <c r="G27" s="68"/>
      <c r="H27" s="68"/>
      <c r="I27" s="68"/>
      <c r="J27" s="68"/>
      <c r="K27" s="68"/>
      <c r="L27" s="68"/>
      <c r="M27" s="10"/>
      <c r="N27" s="10"/>
      <c r="O27" s="10"/>
      <c r="P27" s="10"/>
      <c r="Q27" s="81"/>
      <c r="R27" s="81"/>
      <c r="S27" s="82"/>
      <c r="T27" s="83"/>
      <c r="U27" s="84"/>
      <c r="V27" s="84"/>
      <c r="W27" s="84"/>
      <c r="X27" s="84"/>
      <c r="Y27" s="84"/>
      <c r="Z27" s="84"/>
      <c r="AA27" s="88">
        <f t="shared" si="0"/>
        <v>0</v>
      </c>
      <c r="AB27" s="27" t="e">
        <f t="shared" si="3"/>
        <v>#DIV/0!</v>
      </c>
      <c r="AC27" s="28" t="e">
        <f>VLOOKUP(AB27,Grading!$A$1:$B$102,2,TRUE)</f>
        <v>#DIV/0!</v>
      </c>
      <c r="AD27" s="48"/>
      <c r="AE27" s="27">
        <f t="shared" si="1"/>
        <v>0</v>
      </c>
      <c r="AF27" s="27">
        <f t="shared" si="4"/>
        <v>0</v>
      </c>
      <c r="AG27" s="28">
        <f>VLOOKUP(AF27,Grading!$A$1:$B$102,2,TRUE)</f>
        <v>5</v>
      </c>
      <c r="AH27" s="11"/>
      <c r="AI27" s="27">
        <f t="shared" si="5"/>
        <v>0</v>
      </c>
      <c r="AJ27" s="28">
        <f>VLOOKUP(AI27,Grading!$A$1:$B$102,2,TRUE)</f>
        <v>5</v>
      </c>
      <c r="AK27" s="28" t="e">
        <f t="shared" si="2"/>
        <v>#DIV/0!</v>
      </c>
      <c r="AL27" s="39" t="e">
        <f t="shared" si="6"/>
        <v>#DIV/0!</v>
      </c>
    </row>
    <row r="28" ht="14.25" customHeight="1" spans="1:38">
      <c r="A28" s="11">
        <v>23</v>
      </c>
      <c r="B28" s="67"/>
      <c r="C28" s="35"/>
      <c r="D28" s="68"/>
      <c r="E28" s="68"/>
      <c r="F28" s="68"/>
      <c r="G28" s="68"/>
      <c r="H28" s="68"/>
      <c r="I28" s="68"/>
      <c r="J28" s="68"/>
      <c r="K28" s="68"/>
      <c r="L28" s="68"/>
      <c r="M28" s="10"/>
      <c r="N28" s="10"/>
      <c r="O28" s="10"/>
      <c r="P28" s="10"/>
      <c r="Q28" s="81"/>
      <c r="R28" s="81"/>
      <c r="S28" s="82"/>
      <c r="T28" s="83"/>
      <c r="U28" s="84"/>
      <c r="V28" s="84"/>
      <c r="W28" s="86"/>
      <c r="X28" s="84"/>
      <c r="Y28" s="84"/>
      <c r="Z28" s="84"/>
      <c r="AA28" s="88">
        <f t="shared" si="0"/>
        <v>0</v>
      </c>
      <c r="AB28" s="27" t="e">
        <f t="shared" si="3"/>
        <v>#DIV/0!</v>
      </c>
      <c r="AC28" s="28" t="e">
        <f>VLOOKUP(AB28,Grading!$A$1:$B$102,2,TRUE)</f>
        <v>#DIV/0!</v>
      </c>
      <c r="AD28" s="48"/>
      <c r="AE28" s="27">
        <f t="shared" si="1"/>
        <v>0</v>
      </c>
      <c r="AF28" s="27">
        <f t="shared" si="4"/>
        <v>0</v>
      </c>
      <c r="AG28" s="28">
        <f>VLOOKUP(AF28,Grading!$A$1:$B$102,2,TRUE)</f>
        <v>5</v>
      </c>
      <c r="AH28" s="11"/>
      <c r="AI28" s="27">
        <f t="shared" si="5"/>
        <v>0</v>
      </c>
      <c r="AJ28" s="28">
        <f>VLOOKUP(AI28,Grading!$A$1:$B$102,2,TRUE)</f>
        <v>5</v>
      </c>
      <c r="AK28" s="28" t="e">
        <f t="shared" si="2"/>
        <v>#DIV/0!</v>
      </c>
      <c r="AL28" s="39" t="e">
        <f t="shared" si="6"/>
        <v>#DIV/0!</v>
      </c>
    </row>
    <row r="29" ht="14.5" spans="1:38">
      <c r="A29" s="11">
        <v>24</v>
      </c>
      <c r="B29" s="67"/>
      <c r="C29" s="35"/>
      <c r="D29" s="68"/>
      <c r="E29" s="68"/>
      <c r="F29" s="68"/>
      <c r="G29" s="68"/>
      <c r="H29" s="68"/>
      <c r="I29" s="68"/>
      <c r="J29" s="68"/>
      <c r="K29" s="68"/>
      <c r="L29" s="68"/>
      <c r="M29" s="10"/>
      <c r="N29" s="10"/>
      <c r="O29" s="10"/>
      <c r="P29" s="10"/>
      <c r="Q29" s="81"/>
      <c r="R29" s="81"/>
      <c r="S29" s="82"/>
      <c r="T29" s="83"/>
      <c r="U29" s="84"/>
      <c r="V29" s="84"/>
      <c r="W29" s="84"/>
      <c r="X29" s="84"/>
      <c r="Y29" s="86"/>
      <c r="Z29" s="86"/>
      <c r="AA29" s="88">
        <f t="shared" si="0"/>
        <v>0</v>
      </c>
      <c r="AB29" s="27" t="e">
        <f t="shared" si="3"/>
        <v>#DIV/0!</v>
      </c>
      <c r="AC29" s="28" t="e">
        <f>VLOOKUP(AB29,Grading!$A$1:$B$102,2,TRUE)</f>
        <v>#DIV/0!</v>
      </c>
      <c r="AD29" s="48"/>
      <c r="AE29" s="27">
        <f t="shared" si="1"/>
        <v>0</v>
      </c>
      <c r="AF29" s="27">
        <f t="shared" si="4"/>
        <v>0</v>
      </c>
      <c r="AG29" s="28">
        <f>VLOOKUP(AF29,Grading!$A$1:$B$102,2,TRUE)</f>
        <v>5</v>
      </c>
      <c r="AH29" s="11"/>
      <c r="AI29" s="27">
        <f t="shared" si="5"/>
        <v>0</v>
      </c>
      <c r="AJ29" s="28">
        <f>VLOOKUP(AI29,Grading!$A$1:$B$102,2,TRUE)</f>
        <v>5</v>
      </c>
      <c r="AK29" s="28" t="e">
        <f t="shared" si="2"/>
        <v>#DIV/0!</v>
      </c>
      <c r="AL29" s="39" t="e">
        <f t="shared" si="6"/>
        <v>#DIV/0!</v>
      </c>
    </row>
    <row r="30" ht="14.25" customHeight="1" spans="1:38">
      <c r="A30" s="11">
        <v>25</v>
      </c>
      <c r="B30" s="67"/>
      <c r="C30" s="37"/>
      <c r="D30" s="68"/>
      <c r="E30" s="68"/>
      <c r="F30" s="68"/>
      <c r="G30" s="68"/>
      <c r="H30" s="68"/>
      <c r="I30" s="68"/>
      <c r="J30" s="68"/>
      <c r="K30" s="68"/>
      <c r="L30" s="68"/>
      <c r="M30" s="10"/>
      <c r="N30" s="10"/>
      <c r="O30" s="10"/>
      <c r="P30" s="10"/>
      <c r="Q30" s="81"/>
      <c r="R30" s="81"/>
      <c r="S30" s="82"/>
      <c r="T30" s="83"/>
      <c r="U30" s="84"/>
      <c r="V30" s="84"/>
      <c r="W30" s="84"/>
      <c r="X30" s="84"/>
      <c r="Y30" s="84"/>
      <c r="Z30" s="86"/>
      <c r="AA30" s="88">
        <f t="shared" si="0"/>
        <v>0</v>
      </c>
      <c r="AB30" s="27" t="e">
        <f t="shared" si="3"/>
        <v>#DIV/0!</v>
      </c>
      <c r="AC30" s="28" t="e">
        <f>VLOOKUP(AB30,Grading!$A$1:$B$102,2,TRUE)</f>
        <v>#DIV/0!</v>
      </c>
      <c r="AD30" s="48"/>
      <c r="AE30" s="27">
        <f t="shared" si="1"/>
        <v>0</v>
      </c>
      <c r="AF30" s="27">
        <f t="shared" si="4"/>
        <v>0</v>
      </c>
      <c r="AG30" s="28">
        <f>VLOOKUP(AF30,Grading!$A$1:$B$102,2,TRUE)</f>
        <v>5</v>
      </c>
      <c r="AH30" s="11"/>
      <c r="AI30" s="27">
        <f t="shared" si="5"/>
        <v>0</v>
      </c>
      <c r="AJ30" s="28">
        <f>VLOOKUP(AI30,Grading!$A$1:$B$102,2,TRUE)</f>
        <v>5</v>
      </c>
      <c r="AK30" s="28" t="e">
        <f t="shared" si="2"/>
        <v>#DIV/0!</v>
      </c>
      <c r="AL30" s="39" t="e">
        <f t="shared" si="6"/>
        <v>#DIV/0!</v>
      </c>
    </row>
    <row r="31" ht="14.25" customHeight="1" spans="1:38">
      <c r="A31" s="11">
        <v>26</v>
      </c>
      <c r="B31" s="67"/>
      <c r="C31" s="37"/>
      <c r="D31" s="68"/>
      <c r="E31" s="68"/>
      <c r="F31" s="68"/>
      <c r="G31" s="68"/>
      <c r="H31" s="68"/>
      <c r="I31" s="68"/>
      <c r="J31" s="68"/>
      <c r="K31" s="68"/>
      <c r="L31" s="68"/>
      <c r="M31" s="10"/>
      <c r="N31" s="10"/>
      <c r="O31" s="10"/>
      <c r="P31" s="10"/>
      <c r="Q31" s="81"/>
      <c r="R31" s="81"/>
      <c r="S31" s="82"/>
      <c r="T31" s="83"/>
      <c r="U31" s="84"/>
      <c r="V31" s="84"/>
      <c r="W31" s="84"/>
      <c r="X31" s="84"/>
      <c r="Y31" s="84"/>
      <c r="Z31" s="84"/>
      <c r="AA31" s="88">
        <f t="shared" si="0"/>
        <v>0</v>
      </c>
      <c r="AB31" s="27" t="e">
        <f t="shared" si="3"/>
        <v>#DIV/0!</v>
      </c>
      <c r="AC31" s="28" t="e">
        <f>VLOOKUP(AB31,Grading!$A$1:$B$102,2,TRUE)</f>
        <v>#DIV/0!</v>
      </c>
      <c r="AD31" s="48"/>
      <c r="AE31" s="27">
        <f t="shared" si="1"/>
        <v>0</v>
      </c>
      <c r="AF31" s="27">
        <f t="shared" si="4"/>
        <v>0</v>
      </c>
      <c r="AG31" s="28">
        <f>VLOOKUP(AF31,Grading!$A$1:$B$102,2,TRUE)</f>
        <v>5</v>
      </c>
      <c r="AH31" s="11"/>
      <c r="AI31" s="27">
        <f t="shared" si="5"/>
        <v>0</v>
      </c>
      <c r="AJ31" s="28">
        <f>VLOOKUP(AI31,Grading!$A$1:$B$102,2,TRUE)</f>
        <v>5</v>
      </c>
      <c r="AK31" s="28" t="e">
        <f t="shared" si="2"/>
        <v>#DIV/0!</v>
      </c>
      <c r="AL31" s="39" t="e">
        <f t="shared" si="6"/>
        <v>#DIV/0!</v>
      </c>
    </row>
    <row r="32" ht="14.25" customHeight="1" spans="1:38">
      <c r="A32" s="11">
        <v>27</v>
      </c>
      <c r="B32" s="69"/>
      <c r="C32" s="35"/>
      <c r="D32" s="68"/>
      <c r="E32" s="68"/>
      <c r="F32" s="68"/>
      <c r="G32" s="68"/>
      <c r="H32" s="68"/>
      <c r="I32" s="68"/>
      <c r="J32" s="68"/>
      <c r="K32" s="68"/>
      <c r="L32" s="68"/>
      <c r="M32" s="10"/>
      <c r="N32" s="10"/>
      <c r="O32" s="10"/>
      <c r="P32" s="10"/>
      <c r="Q32" s="81"/>
      <c r="R32" s="81"/>
      <c r="S32" s="82"/>
      <c r="T32" s="85"/>
      <c r="U32" s="84"/>
      <c r="V32" s="84"/>
      <c r="W32" s="84"/>
      <c r="X32" s="84"/>
      <c r="Y32" s="84"/>
      <c r="Z32" s="84"/>
      <c r="AA32" s="88">
        <f t="shared" si="0"/>
        <v>0</v>
      </c>
      <c r="AB32" s="27" t="e">
        <f t="shared" si="3"/>
        <v>#DIV/0!</v>
      </c>
      <c r="AC32" s="28" t="e">
        <f>VLOOKUP(AB32,Grading!$A$1:$B$102,2,TRUE)</f>
        <v>#DIV/0!</v>
      </c>
      <c r="AD32" s="48"/>
      <c r="AE32" s="27">
        <f t="shared" si="1"/>
        <v>0</v>
      </c>
      <c r="AF32" s="27">
        <f t="shared" si="4"/>
        <v>0</v>
      </c>
      <c r="AG32" s="28">
        <f>VLOOKUP(AF32,Grading!$A$1:$B$102,2,TRUE)</f>
        <v>5</v>
      </c>
      <c r="AH32" s="11"/>
      <c r="AI32" s="27">
        <f t="shared" si="5"/>
        <v>0</v>
      </c>
      <c r="AJ32" s="28">
        <f>VLOOKUP(AI32,Grading!$A$1:$B$102,2,TRUE)</f>
        <v>5</v>
      </c>
      <c r="AK32" s="28" t="e">
        <f t="shared" si="2"/>
        <v>#DIV/0!</v>
      </c>
      <c r="AL32" s="39" t="e">
        <f t="shared" si="6"/>
        <v>#DIV/0!</v>
      </c>
    </row>
    <row r="33" ht="14.25" customHeight="1" spans="1:38">
      <c r="A33" s="11">
        <v>28</v>
      </c>
      <c r="B33" s="69"/>
      <c r="C33" s="37"/>
      <c r="D33" s="68"/>
      <c r="E33" s="68"/>
      <c r="F33" s="68"/>
      <c r="G33" s="68"/>
      <c r="H33" s="68"/>
      <c r="I33" s="68"/>
      <c r="J33" s="68"/>
      <c r="K33" s="68"/>
      <c r="L33" s="68"/>
      <c r="M33" s="10"/>
      <c r="N33" s="10"/>
      <c r="O33" s="10"/>
      <c r="P33" s="10"/>
      <c r="Q33" s="81"/>
      <c r="R33" s="81"/>
      <c r="S33" s="82"/>
      <c r="T33" s="83"/>
      <c r="U33" s="84"/>
      <c r="V33" s="84"/>
      <c r="W33" s="84"/>
      <c r="X33" s="84"/>
      <c r="Y33" s="84"/>
      <c r="Z33" s="84"/>
      <c r="AA33" s="88">
        <f t="shared" si="0"/>
        <v>0</v>
      </c>
      <c r="AB33" s="27" t="e">
        <f t="shared" si="3"/>
        <v>#DIV/0!</v>
      </c>
      <c r="AC33" s="28" t="e">
        <f>VLOOKUP(AB33,Grading!$A$1:$B$102,2,TRUE)</f>
        <v>#DIV/0!</v>
      </c>
      <c r="AD33" s="48"/>
      <c r="AE33" s="27">
        <f t="shared" si="1"/>
        <v>0</v>
      </c>
      <c r="AF33" s="27">
        <f t="shared" si="4"/>
        <v>0</v>
      </c>
      <c r="AG33" s="28">
        <f>VLOOKUP(AF33,Grading!$A$1:$B$102,2,TRUE)</f>
        <v>5</v>
      </c>
      <c r="AH33" s="11"/>
      <c r="AI33" s="27">
        <f t="shared" si="5"/>
        <v>0</v>
      </c>
      <c r="AJ33" s="28">
        <f>VLOOKUP(AI33,Grading!$A$1:$B$102,2,TRUE)</f>
        <v>5</v>
      </c>
      <c r="AK33" s="28" t="e">
        <f t="shared" si="2"/>
        <v>#DIV/0!</v>
      </c>
      <c r="AL33" s="39" t="e">
        <f t="shared" si="6"/>
        <v>#DIV/0!</v>
      </c>
    </row>
    <row r="34" ht="14.25" customHeight="1" spans="1:38">
      <c r="A34" s="11">
        <v>29</v>
      </c>
      <c r="B34" s="69"/>
      <c r="C34" s="35"/>
      <c r="D34" s="68"/>
      <c r="E34" s="68"/>
      <c r="F34" s="68"/>
      <c r="G34" s="68"/>
      <c r="H34" s="68"/>
      <c r="I34" s="68"/>
      <c r="J34" s="68"/>
      <c r="K34" s="68"/>
      <c r="L34" s="68"/>
      <c r="M34" s="10"/>
      <c r="N34" s="10"/>
      <c r="O34" s="10"/>
      <c r="P34" s="10"/>
      <c r="Q34" s="81"/>
      <c r="R34" s="81"/>
      <c r="S34" s="82"/>
      <c r="T34" s="83"/>
      <c r="U34" s="84"/>
      <c r="V34" s="84"/>
      <c r="W34" s="84"/>
      <c r="X34" s="84"/>
      <c r="Y34" s="84"/>
      <c r="Z34" s="84"/>
      <c r="AA34" s="88">
        <f t="shared" si="0"/>
        <v>0</v>
      </c>
      <c r="AB34" s="27" t="e">
        <f t="shared" si="3"/>
        <v>#DIV/0!</v>
      </c>
      <c r="AC34" s="28" t="e">
        <f>VLOOKUP(AB34,Grading!$A$1:$B$102,2,TRUE)</f>
        <v>#DIV/0!</v>
      </c>
      <c r="AD34" s="48"/>
      <c r="AE34" s="27">
        <f t="shared" si="1"/>
        <v>0</v>
      </c>
      <c r="AF34" s="27">
        <f t="shared" si="4"/>
        <v>0</v>
      </c>
      <c r="AG34" s="28">
        <f>VLOOKUP(AF34,Grading!$A$1:$B$102,2,TRUE)</f>
        <v>5</v>
      </c>
      <c r="AH34" s="11"/>
      <c r="AI34" s="27">
        <f t="shared" si="5"/>
        <v>0</v>
      </c>
      <c r="AJ34" s="28">
        <f>VLOOKUP(AI34,Grading!$A$1:$B$102,2,TRUE)</f>
        <v>5</v>
      </c>
      <c r="AK34" s="28" t="e">
        <f t="shared" si="2"/>
        <v>#DIV/0!</v>
      </c>
      <c r="AL34" s="39" t="e">
        <f t="shared" si="6"/>
        <v>#DIV/0!</v>
      </c>
    </row>
    <row r="35" ht="14.25" customHeight="1" spans="1:38">
      <c r="A35" s="11">
        <v>30</v>
      </c>
      <c r="B35" s="69"/>
      <c r="C35" s="37"/>
      <c r="D35" s="68"/>
      <c r="E35" s="68"/>
      <c r="F35" s="68"/>
      <c r="G35" s="68"/>
      <c r="H35" s="68"/>
      <c r="I35" s="68"/>
      <c r="J35" s="68"/>
      <c r="K35" s="68"/>
      <c r="L35" s="68"/>
      <c r="M35" s="10"/>
      <c r="N35" s="10"/>
      <c r="O35" s="10"/>
      <c r="P35" s="10"/>
      <c r="Q35" s="81"/>
      <c r="R35" s="81"/>
      <c r="S35" s="82"/>
      <c r="T35" s="83"/>
      <c r="U35" s="84"/>
      <c r="V35" s="84"/>
      <c r="W35" s="84"/>
      <c r="X35" s="84"/>
      <c r="Y35" s="84"/>
      <c r="Z35" s="84"/>
      <c r="AA35" s="88">
        <f t="shared" si="0"/>
        <v>0</v>
      </c>
      <c r="AB35" s="27" t="e">
        <f t="shared" si="3"/>
        <v>#DIV/0!</v>
      </c>
      <c r="AC35" s="28" t="e">
        <f>VLOOKUP(AB35,Grading!$A$1:$B$102,2,TRUE)</f>
        <v>#DIV/0!</v>
      </c>
      <c r="AD35" s="48"/>
      <c r="AE35" s="27">
        <f t="shared" si="1"/>
        <v>0</v>
      </c>
      <c r="AF35" s="27">
        <f t="shared" si="4"/>
        <v>0</v>
      </c>
      <c r="AG35" s="28">
        <f>VLOOKUP(AF35,Grading!$A$1:$B$102,2,TRUE)</f>
        <v>5</v>
      </c>
      <c r="AH35" s="11"/>
      <c r="AI35" s="27">
        <f t="shared" si="5"/>
        <v>0</v>
      </c>
      <c r="AJ35" s="28">
        <f>VLOOKUP(AI35,Grading!$A$1:$B$102,2,TRUE)</f>
        <v>5</v>
      </c>
      <c r="AK35" s="28" t="e">
        <f t="shared" si="2"/>
        <v>#DIV/0!</v>
      </c>
      <c r="AL35" s="39" t="e">
        <f t="shared" si="6"/>
        <v>#DIV/0!</v>
      </c>
    </row>
    <row r="36" ht="14.25" customHeight="1" spans="1:38">
      <c r="A36" s="11">
        <v>31</v>
      </c>
      <c r="B36" s="69"/>
      <c r="C36" s="35"/>
      <c r="D36" s="68"/>
      <c r="E36" s="68"/>
      <c r="F36" s="68"/>
      <c r="G36" s="68"/>
      <c r="H36" s="68"/>
      <c r="I36" s="68"/>
      <c r="J36" s="68"/>
      <c r="K36" s="68"/>
      <c r="L36" s="68"/>
      <c r="M36" s="10"/>
      <c r="N36" s="10"/>
      <c r="O36" s="10"/>
      <c r="P36" s="10"/>
      <c r="Q36" s="81"/>
      <c r="R36" s="81"/>
      <c r="S36" s="82"/>
      <c r="T36" s="83"/>
      <c r="U36" s="84"/>
      <c r="V36" s="84"/>
      <c r="W36" s="84"/>
      <c r="X36" s="84"/>
      <c r="Y36" s="84"/>
      <c r="Z36" s="84"/>
      <c r="AA36" s="88">
        <f t="shared" si="0"/>
        <v>0</v>
      </c>
      <c r="AB36" s="27" t="e">
        <f t="shared" si="3"/>
        <v>#DIV/0!</v>
      </c>
      <c r="AC36" s="28" t="e">
        <f>VLOOKUP(AB36,Grading!$A$1:$B$102,2,TRUE)</f>
        <v>#DIV/0!</v>
      </c>
      <c r="AD36" s="48"/>
      <c r="AE36" s="27">
        <f t="shared" si="1"/>
        <v>0</v>
      </c>
      <c r="AF36" s="27">
        <f t="shared" si="4"/>
        <v>0</v>
      </c>
      <c r="AG36" s="28">
        <f>VLOOKUP(AF36,Grading!$A$1:$B$102,2,TRUE)</f>
        <v>5</v>
      </c>
      <c r="AH36" s="11"/>
      <c r="AI36" s="27">
        <f t="shared" si="5"/>
        <v>0</v>
      </c>
      <c r="AJ36" s="28">
        <f>VLOOKUP(AI36,Grading!$A$1:$B$102,2,TRUE)</f>
        <v>5</v>
      </c>
      <c r="AK36" s="28" t="e">
        <f t="shared" si="2"/>
        <v>#DIV/0!</v>
      </c>
      <c r="AL36" s="39" t="e">
        <f t="shared" si="6"/>
        <v>#DIV/0!</v>
      </c>
    </row>
    <row r="37" ht="14.25" customHeight="1" spans="1:38">
      <c r="A37" s="11">
        <v>32</v>
      </c>
      <c r="B37" s="69"/>
      <c r="C37" s="35"/>
      <c r="D37" s="68"/>
      <c r="E37" s="68"/>
      <c r="F37" s="68"/>
      <c r="G37" s="68"/>
      <c r="H37" s="68"/>
      <c r="I37" s="68"/>
      <c r="J37" s="68"/>
      <c r="K37" s="68"/>
      <c r="L37" s="68"/>
      <c r="M37" s="10"/>
      <c r="N37" s="10"/>
      <c r="O37" s="10"/>
      <c r="P37" s="10"/>
      <c r="Q37" s="81"/>
      <c r="R37" s="81"/>
      <c r="S37" s="82"/>
      <c r="T37" s="85"/>
      <c r="U37" s="84"/>
      <c r="V37" s="84"/>
      <c r="W37" s="84"/>
      <c r="X37" s="84"/>
      <c r="Y37" s="86"/>
      <c r="Z37" s="86"/>
      <c r="AA37" s="88">
        <f t="shared" si="0"/>
        <v>0</v>
      </c>
      <c r="AB37" s="27" t="e">
        <f t="shared" si="3"/>
        <v>#DIV/0!</v>
      </c>
      <c r="AC37" s="28" t="e">
        <f>VLOOKUP(AB37,Grading!$A$1:$B$102,2,TRUE)</f>
        <v>#DIV/0!</v>
      </c>
      <c r="AD37" s="48"/>
      <c r="AE37" s="27">
        <f t="shared" si="1"/>
        <v>0</v>
      </c>
      <c r="AF37" s="27">
        <f t="shared" si="4"/>
        <v>0</v>
      </c>
      <c r="AG37" s="28">
        <f>VLOOKUP(AF37,Grading!$A$1:$B$102,2,TRUE)</f>
        <v>5</v>
      </c>
      <c r="AH37" s="11"/>
      <c r="AI37" s="27">
        <f t="shared" si="5"/>
        <v>0</v>
      </c>
      <c r="AJ37" s="28">
        <f>VLOOKUP(AI37,Grading!$A$1:$B$102,2,TRUE)</f>
        <v>5</v>
      </c>
      <c r="AK37" s="28" t="e">
        <f t="shared" si="2"/>
        <v>#DIV/0!</v>
      </c>
      <c r="AL37" s="39" t="e">
        <f t="shared" si="6"/>
        <v>#DIV/0!</v>
      </c>
    </row>
    <row r="38" ht="14.25" customHeight="1" spans="1:38">
      <c r="A38" s="11">
        <v>33</v>
      </c>
      <c r="B38" s="69"/>
      <c r="C38" s="37"/>
      <c r="D38" s="68"/>
      <c r="E38" s="68"/>
      <c r="F38" s="68"/>
      <c r="G38" s="68"/>
      <c r="H38" s="68"/>
      <c r="I38" s="68"/>
      <c r="J38" s="68"/>
      <c r="K38" s="68"/>
      <c r="L38" s="68"/>
      <c r="M38" s="10"/>
      <c r="N38" s="10"/>
      <c r="O38" s="10"/>
      <c r="P38" s="10"/>
      <c r="Q38" s="81"/>
      <c r="R38" s="81"/>
      <c r="S38" s="82"/>
      <c r="T38" s="83"/>
      <c r="U38" s="84"/>
      <c r="V38" s="84"/>
      <c r="W38" s="84"/>
      <c r="X38" s="84"/>
      <c r="Y38" s="84"/>
      <c r="Z38" s="84"/>
      <c r="AA38" s="88">
        <f t="shared" si="0"/>
        <v>0</v>
      </c>
      <c r="AB38" s="27" t="e">
        <f t="shared" si="3"/>
        <v>#DIV/0!</v>
      </c>
      <c r="AC38" s="28" t="e">
        <f>VLOOKUP(AB38,Grading!$A$1:$B$102,2,TRUE)</f>
        <v>#DIV/0!</v>
      </c>
      <c r="AD38" s="48"/>
      <c r="AE38" s="27">
        <f t="shared" si="1"/>
        <v>0</v>
      </c>
      <c r="AF38" s="27">
        <f t="shared" si="4"/>
        <v>0</v>
      </c>
      <c r="AG38" s="28">
        <f>VLOOKUP(AF38,Grading!$A$1:$B$102,2,TRUE)</f>
        <v>5</v>
      </c>
      <c r="AH38" s="11"/>
      <c r="AI38" s="27">
        <f t="shared" si="5"/>
        <v>0</v>
      </c>
      <c r="AJ38" s="28">
        <f>VLOOKUP(AI38,Grading!$A$1:$B$102,2,TRUE)</f>
        <v>5</v>
      </c>
      <c r="AK38" s="28" t="e">
        <f t="shared" si="2"/>
        <v>#DIV/0!</v>
      </c>
      <c r="AL38" s="39" t="e">
        <f t="shared" si="6"/>
        <v>#DIV/0!</v>
      </c>
    </row>
    <row r="39" ht="15.75" customHeight="1" spans="1:38">
      <c r="A39" s="11">
        <v>34</v>
      </c>
      <c r="B39" s="70"/>
      <c r="C39" s="35"/>
      <c r="D39" s="68"/>
      <c r="E39" s="68"/>
      <c r="F39" s="68"/>
      <c r="G39" s="68"/>
      <c r="H39" s="68"/>
      <c r="I39" s="68"/>
      <c r="J39" s="68"/>
      <c r="K39" s="68"/>
      <c r="L39" s="68"/>
      <c r="M39" s="10"/>
      <c r="N39" s="10"/>
      <c r="O39" s="10"/>
      <c r="P39" s="10"/>
      <c r="Q39" s="81"/>
      <c r="R39" s="81"/>
      <c r="S39" s="82"/>
      <c r="T39" s="83"/>
      <c r="U39" s="84"/>
      <c r="V39" s="84"/>
      <c r="W39" s="84"/>
      <c r="X39" s="84"/>
      <c r="Y39" s="84"/>
      <c r="Z39" s="84"/>
      <c r="AA39" s="88">
        <f t="shared" si="0"/>
        <v>0</v>
      </c>
      <c r="AB39" s="27" t="e">
        <f t="shared" si="3"/>
        <v>#DIV/0!</v>
      </c>
      <c r="AC39" s="28" t="e">
        <f>VLOOKUP(AB39,Grading!$A$1:$B$102,2,TRUE)</f>
        <v>#DIV/0!</v>
      </c>
      <c r="AD39" s="48"/>
      <c r="AE39" s="27">
        <f t="shared" si="1"/>
        <v>0</v>
      </c>
      <c r="AF39" s="27">
        <f t="shared" si="4"/>
        <v>0</v>
      </c>
      <c r="AG39" s="28">
        <f>VLOOKUP(AF39,Grading!$A$1:$B$102,2,TRUE)</f>
        <v>5</v>
      </c>
      <c r="AH39" s="11"/>
      <c r="AI39" s="27">
        <f t="shared" si="5"/>
        <v>0</v>
      </c>
      <c r="AJ39" s="28">
        <f>VLOOKUP(AI39,Grading!$A$1:$B$102,2,TRUE)</f>
        <v>5</v>
      </c>
      <c r="AK39" s="28" t="e">
        <f t="shared" si="2"/>
        <v>#DIV/0!</v>
      </c>
      <c r="AL39" s="39" t="e">
        <f t="shared" si="6"/>
        <v>#DIV/0!</v>
      </c>
    </row>
    <row r="40" ht="15.75" customHeight="1" spans="1:38">
      <c r="A40" s="11">
        <v>35</v>
      </c>
      <c r="B40" s="70"/>
      <c r="C40" s="37"/>
      <c r="D40" s="68"/>
      <c r="E40" s="68"/>
      <c r="F40" s="68"/>
      <c r="G40" s="68"/>
      <c r="H40" s="68"/>
      <c r="I40" s="68"/>
      <c r="J40" s="68"/>
      <c r="K40" s="68"/>
      <c r="L40" s="68"/>
      <c r="M40" s="10"/>
      <c r="N40" s="10"/>
      <c r="O40" s="10"/>
      <c r="P40" s="10"/>
      <c r="Q40" s="81"/>
      <c r="R40" s="81"/>
      <c r="S40" s="82"/>
      <c r="T40" s="85"/>
      <c r="U40" s="84"/>
      <c r="V40" s="86"/>
      <c r="W40" s="86"/>
      <c r="X40" s="84"/>
      <c r="Y40" s="84"/>
      <c r="Z40" s="84"/>
      <c r="AA40" s="88">
        <f t="shared" si="0"/>
        <v>0</v>
      </c>
      <c r="AB40" s="27" t="e">
        <f t="shared" si="3"/>
        <v>#DIV/0!</v>
      </c>
      <c r="AC40" s="28" t="e">
        <f>VLOOKUP(AB40,Grading!$A$1:$B$102,2,TRUE)</f>
        <v>#DIV/0!</v>
      </c>
      <c r="AD40" s="48"/>
      <c r="AE40" s="27">
        <f t="shared" si="1"/>
        <v>0</v>
      </c>
      <c r="AF40" s="27">
        <f t="shared" si="4"/>
        <v>0</v>
      </c>
      <c r="AG40" s="28">
        <f>VLOOKUP(AF40,Grading!$A$1:$B$102,2,TRUE)</f>
        <v>5</v>
      </c>
      <c r="AH40" s="11"/>
      <c r="AI40" s="27">
        <f t="shared" si="5"/>
        <v>0</v>
      </c>
      <c r="AJ40" s="28">
        <f>VLOOKUP(AI40,Grading!$A$1:$B$102,2,TRUE)</f>
        <v>5</v>
      </c>
      <c r="AK40" s="28" t="e">
        <f t="shared" si="2"/>
        <v>#DIV/0!</v>
      </c>
      <c r="AL40" s="39" t="e">
        <f t="shared" si="6"/>
        <v>#DIV/0!</v>
      </c>
    </row>
    <row r="41" ht="15.75" customHeight="1" spans="1:38">
      <c r="A41" s="11">
        <v>36</v>
      </c>
      <c r="B41" s="70"/>
      <c r="C41" s="37"/>
      <c r="D41" s="68"/>
      <c r="E41" s="68"/>
      <c r="F41" s="68"/>
      <c r="G41" s="68"/>
      <c r="H41" s="68"/>
      <c r="I41" s="68"/>
      <c r="J41" s="68"/>
      <c r="K41" s="68"/>
      <c r="L41" s="68"/>
      <c r="M41" s="10"/>
      <c r="N41" s="10"/>
      <c r="O41" s="10"/>
      <c r="P41" s="10"/>
      <c r="Q41" s="81"/>
      <c r="R41" s="81"/>
      <c r="S41" s="82"/>
      <c r="T41" s="85"/>
      <c r="U41" s="84"/>
      <c r="V41" s="84"/>
      <c r="W41" s="84"/>
      <c r="X41" s="84"/>
      <c r="Y41" s="84"/>
      <c r="Z41" s="84"/>
      <c r="AA41" s="88">
        <f t="shared" si="0"/>
        <v>0</v>
      </c>
      <c r="AB41" s="27" t="e">
        <f t="shared" si="3"/>
        <v>#DIV/0!</v>
      </c>
      <c r="AC41" s="28" t="e">
        <f>VLOOKUP(AB41,Grading!$A$1:$B$102,2,TRUE)</f>
        <v>#DIV/0!</v>
      </c>
      <c r="AD41" s="48"/>
      <c r="AE41" s="27">
        <f t="shared" si="1"/>
        <v>0</v>
      </c>
      <c r="AF41" s="27">
        <f t="shared" si="4"/>
        <v>0</v>
      </c>
      <c r="AG41" s="28">
        <f>VLOOKUP(AF41,Grading!$A$1:$B$102,2,TRUE)</f>
        <v>5</v>
      </c>
      <c r="AH41" s="11"/>
      <c r="AI41" s="27">
        <f t="shared" si="5"/>
        <v>0</v>
      </c>
      <c r="AJ41" s="28">
        <f>VLOOKUP(AI41,Grading!$A$1:$B$102,2,TRUE)</f>
        <v>5</v>
      </c>
      <c r="AK41" s="28" t="e">
        <f t="shared" si="2"/>
        <v>#DIV/0!</v>
      </c>
      <c r="AL41" s="39" t="e">
        <f t="shared" si="6"/>
        <v>#DIV/0!</v>
      </c>
    </row>
    <row r="42" ht="15.75" customHeight="1" spans="1:38">
      <c r="A42" s="11">
        <v>37</v>
      </c>
      <c r="B42" s="70"/>
      <c r="C42" s="35"/>
      <c r="D42" s="68"/>
      <c r="E42" s="68"/>
      <c r="F42" s="68"/>
      <c r="G42" s="68"/>
      <c r="H42" s="68"/>
      <c r="I42" s="68"/>
      <c r="J42" s="68"/>
      <c r="K42" s="68"/>
      <c r="L42" s="68"/>
      <c r="M42" s="10"/>
      <c r="N42" s="10"/>
      <c r="O42" s="10"/>
      <c r="P42" s="10"/>
      <c r="Q42" s="81"/>
      <c r="R42" s="81"/>
      <c r="S42" s="82"/>
      <c r="T42" s="83"/>
      <c r="U42" s="84"/>
      <c r="V42" s="84"/>
      <c r="W42" s="84"/>
      <c r="X42" s="84"/>
      <c r="Y42" s="84"/>
      <c r="Z42" s="84"/>
      <c r="AA42" s="88">
        <f t="shared" si="0"/>
        <v>0</v>
      </c>
      <c r="AB42" s="27" t="e">
        <f t="shared" si="3"/>
        <v>#DIV/0!</v>
      </c>
      <c r="AC42" s="28" t="e">
        <f>VLOOKUP(AB42,Grading!$A$1:$B$102,2,TRUE)</f>
        <v>#DIV/0!</v>
      </c>
      <c r="AD42" s="48"/>
      <c r="AE42" s="27">
        <f t="shared" si="1"/>
        <v>0</v>
      </c>
      <c r="AF42" s="27">
        <f t="shared" si="4"/>
        <v>0</v>
      </c>
      <c r="AG42" s="28">
        <f>VLOOKUP(AF42,Grading!$A$1:$B$102,2,TRUE)</f>
        <v>5</v>
      </c>
      <c r="AH42" s="11"/>
      <c r="AI42" s="27">
        <f t="shared" si="5"/>
        <v>0</v>
      </c>
      <c r="AJ42" s="28">
        <f>VLOOKUP(AI42,Grading!$A$1:$B$102,2,TRUE)</f>
        <v>5</v>
      </c>
      <c r="AK42" s="28" t="e">
        <f t="shared" si="2"/>
        <v>#DIV/0!</v>
      </c>
      <c r="AL42" s="39" t="e">
        <f t="shared" si="6"/>
        <v>#DIV/0!</v>
      </c>
    </row>
    <row r="43" ht="15.75" customHeight="1" spans="1:38">
      <c r="A43" s="11">
        <v>38</v>
      </c>
      <c r="B43" s="70"/>
      <c r="C43" s="37"/>
      <c r="D43" s="68"/>
      <c r="E43" s="68"/>
      <c r="F43" s="68"/>
      <c r="G43" s="68"/>
      <c r="H43" s="68"/>
      <c r="I43" s="68"/>
      <c r="J43" s="68"/>
      <c r="K43" s="68"/>
      <c r="L43" s="68"/>
      <c r="M43" s="10"/>
      <c r="N43" s="10"/>
      <c r="O43" s="10"/>
      <c r="P43" s="10"/>
      <c r="Q43" s="81"/>
      <c r="R43" s="81"/>
      <c r="S43" s="82"/>
      <c r="T43" s="83"/>
      <c r="U43" s="84"/>
      <c r="V43" s="84"/>
      <c r="W43" s="84"/>
      <c r="X43" s="84"/>
      <c r="Y43" s="84"/>
      <c r="Z43" s="84"/>
      <c r="AA43" s="88">
        <f t="shared" si="0"/>
        <v>0</v>
      </c>
      <c r="AB43" s="27" t="e">
        <f t="shared" si="3"/>
        <v>#DIV/0!</v>
      </c>
      <c r="AC43" s="28" t="e">
        <f>VLOOKUP(AB43,Grading!$A$1:$B$102,2,TRUE)</f>
        <v>#DIV/0!</v>
      </c>
      <c r="AD43" s="48"/>
      <c r="AE43" s="27">
        <f t="shared" si="1"/>
        <v>0</v>
      </c>
      <c r="AF43" s="27">
        <f t="shared" si="4"/>
        <v>0</v>
      </c>
      <c r="AG43" s="28">
        <f>VLOOKUP(AF43,Grading!$A$1:$B$102,2,TRUE)</f>
        <v>5</v>
      </c>
      <c r="AH43" s="11"/>
      <c r="AI43" s="27">
        <f t="shared" si="5"/>
        <v>0</v>
      </c>
      <c r="AJ43" s="28">
        <f>VLOOKUP(AI43,Grading!$A$1:$B$102,2,TRUE)</f>
        <v>5</v>
      </c>
      <c r="AK43" s="28" t="e">
        <f t="shared" si="2"/>
        <v>#DIV/0!</v>
      </c>
      <c r="AL43" s="39" t="e">
        <f t="shared" si="6"/>
        <v>#DIV/0!</v>
      </c>
    </row>
    <row r="44" ht="15.75" customHeight="1" spans="1:38">
      <c r="A44" s="11">
        <v>39</v>
      </c>
      <c r="B44" s="70"/>
      <c r="C44" s="35"/>
      <c r="D44" s="68"/>
      <c r="E44" s="68"/>
      <c r="F44" s="68"/>
      <c r="G44" s="68"/>
      <c r="H44" s="68"/>
      <c r="I44" s="68"/>
      <c r="J44" s="68"/>
      <c r="K44" s="68"/>
      <c r="L44" s="68"/>
      <c r="M44" s="10"/>
      <c r="N44" s="10"/>
      <c r="O44" s="10"/>
      <c r="P44" s="10"/>
      <c r="Q44" s="81"/>
      <c r="R44" s="81"/>
      <c r="S44" s="82"/>
      <c r="T44" s="85"/>
      <c r="U44" s="84"/>
      <c r="V44" s="84"/>
      <c r="W44" s="84"/>
      <c r="X44" s="84"/>
      <c r="Y44" s="84"/>
      <c r="Z44" s="84"/>
      <c r="AA44" s="88">
        <f t="shared" si="0"/>
        <v>0</v>
      </c>
      <c r="AB44" s="27" t="e">
        <f t="shared" si="3"/>
        <v>#DIV/0!</v>
      </c>
      <c r="AC44" s="28" t="e">
        <f>VLOOKUP(AB44,Grading!$A$1:$B$102,2,TRUE)</f>
        <v>#DIV/0!</v>
      </c>
      <c r="AD44" s="48"/>
      <c r="AE44" s="27">
        <f t="shared" si="1"/>
        <v>0</v>
      </c>
      <c r="AF44" s="27">
        <f t="shared" si="4"/>
        <v>0</v>
      </c>
      <c r="AG44" s="28">
        <f>VLOOKUP(AF44,Grading!$A$1:$B$102,2,TRUE)</f>
        <v>5</v>
      </c>
      <c r="AH44" s="11"/>
      <c r="AI44" s="27">
        <f t="shared" si="5"/>
        <v>0</v>
      </c>
      <c r="AJ44" s="28">
        <f>VLOOKUP(AI44,Grading!$A$1:$B$102,2,TRUE)</f>
        <v>5</v>
      </c>
      <c r="AK44" s="28" t="e">
        <f t="shared" si="2"/>
        <v>#DIV/0!</v>
      </c>
      <c r="AL44" s="39" t="e">
        <f t="shared" si="6"/>
        <v>#DIV/0!</v>
      </c>
    </row>
    <row r="45" ht="15.75" customHeight="1" spans="1:38">
      <c r="A45" s="11">
        <v>40</v>
      </c>
      <c r="B45" s="70"/>
      <c r="C45" s="37"/>
      <c r="D45" s="68"/>
      <c r="E45" s="68"/>
      <c r="F45" s="68"/>
      <c r="G45" s="68"/>
      <c r="H45" s="68"/>
      <c r="I45" s="68"/>
      <c r="J45" s="68"/>
      <c r="K45" s="68"/>
      <c r="L45" s="68"/>
      <c r="M45" s="10"/>
      <c r="N45" s="10"/>
      <c r="O45" s="10"/>
      <c r="P45" s="10"/>
      <c r="Q45" s="81"/>
      <c r="R45" s="81"/>
      <c r="S45" s="82"/>
      <c r="T45" s="83"/>
      <c r="U45" s="84"/>
      <c r="V45" s="84"/>
      <c r="W45" s="84"/>
      <c r="X45" s="84"/>
      <c r="Y45" s="84"/>
      <c r="Z45" s="84"/>
      <c r="AA45" s="88">
        <f t="shared" si="0"/>
        <v>0</v>
      </c>
      <c r="AB45" s="27" t="e">
        <f t="shared" si="3"/>
        <v>#DIV/0!</v>
      </c>
      <c r="AC45" s="28" t="e">
        <f>VLOOKUP(AB45,Grading!$A$1:$B$102,2,TRUE)</f>
        <v>#DIV/0!</v>
      </c>
      <c r="AD45" s="48"/>
      <c r="AE45" s="27">
        <f t="shared" si="1"/>
        <v>0</v>
      </c>
      <c r="AF45" s="27">
        <f t="shared" si="4"/>
        <v>0</v>
      </c>
      <c r="AG45" s="28">
        <f>VLOOKUP(AF45,Grading!$A$1:$B$102,2,TRUE)</f>
        <v>5</v>
      </c>
      <c r="AH45" s="11"/>
      <c r="AI45" s="27">
        <f t="shared" si="5"/>
        <v>0</v>
      </c>
      <c r="AJ45" s="28">
        <f>VLOOKUP(AI45,Grading!$A$1:$B$102,2,TRUE)</f>
        <v>5</v>
      </c>
      <c r="AK45" s="28" t="e">
        <f t="shared" si="2"/>
        <v>#DIV/0!</v>
      </c>
      <c r="AL45" s="39" t="e">
        <f t="shared" si="6"/>
        <v>#DIV/0!</v>
      </c>
    </row>
    <row r="46" ht="15.75" customHeight="1" spans="1:38">
      <c r="A46" s="11">
        <v>41</v>
      </c>
      <c r="B46" s="70"/>
      <c r="C46" s="35"/>
      <c r="D46" s="68"/>
      <c r="E46" s="68"/>
      <c r="F46" s="68"/>
      <c r="G46" s="68"/>
      <c r="H46" s="68"/>
      <c r="I46" s="68"/>
      <c r="J46" s="68"/>
      <c r="K46" s="68"/>
      <c r="L46" s="68"/>
      <c r="M46" s="10"/>
      <c r="N46" s="10"/>
      <c r="O46" s="10"/>
      <c r="P46" s="10"/>
      <c r="Q46" s="81"/>
      <c r="R46" s="81"/>
      <c r="S46" s="82"/>
      <c r="T46" s="83"/>
      <c r="U46" s="84"/>
      <c r="V46" s="84"/>
      <c r="W46" s="84"/>
      <c r="X46" s="84"/>
      <c r="Y46" s="84"/>
      <c r="Z46" s="84"/>
      <c r="AA46" s="88">
        <f t="shared" si="0"/>
        <v>0</v>
      </c>
      <c r="AB46" s="27" t="e">
        <f t="shared" si="3"/>
        <v>#DIV/0!</v>
      </c>
      <c r="AC46" s="28" t="e">
        <f>VLOOKUP(AB46,Grading!$A$1:$B$102,2,TRUE)</f>
        <v>#DIV/0!</v>
      </c>
      <c r="AD46" s="48"/>
      <c r="AE46" s="27">
        <f t="shared" si="1"/>
        <v>0</v>
      </c>
      <c r="AF46" s="27">
        <f t="shared" si="4"/>
        <v>0</v>
      </c>
      <c r="AG46" s="28">
        <f>VLOOKUP(AF46,Grading!$A$1:$B$102,2,TRUE)</f>
        <v>5</v>
      </c>
      <c r="AH46" s="11"/>
      <c r="AI46" s="27">
        <f t="shared" si="5"/>
        <v>0</v>
      </c>
      <c r="AJ46" s="28">
        <f>VLOOKUP(AI46,Grading!$A$1:$B$102,2,TRUE)</f>
        <v>5</v>
      </c>
      <c r="AK46" s="28" t="e">
        <f t="shared" si="2"/>
        <v>#DIV/0!</v>
      </c>
      <c r="AL46" s="39" t="e">
        <f t="shared" si="6"/>
        <v>#DIV/0!</v>
      </c>
    </row>
    <row r="47" ht="15.75" customHeight="1" spans="1:38">
      <c r="A47" s="11">
        <v>42</v>
      </c>
      <c r="B47" s="70"/>
      <c r="C47" s="37"/>
      <c r="D47" s="68"/>
      <c r="E47" s="68"/>
      <c r="F47" s="68"/>
      <c r="G47" s="68"/>
      <c r="H47" s="68"/>
      <c r="I47" s="68"/>
      <c r="J47" s="68"/>
      <c r="K47" s="68"/>
      <c r="L47" s="68"/>
      <c r="M47" s="10"/>
      <c r="N47" s="10"/>
      <c r="O47" s="10"/>
      <c r="P47" s="10"/>
      <c r="Q47" s="81"/>
      <c r="R47" s="81"/>
      <c r="S47" s="82"/>
      <c r="T47" s="83"/>
      <c r="U47" s="84"/>
      <c r="V47" s="84"/>
      <c r="W47" s="84"/>
      <c r="X47" s="84"/>
      <c r="Y47" s="84"/>
      <c r="Z47" s="84"/>
      <c r="AA47" s="88">
        <f t="shared" si="0"/>
        <v>0</v>
      </c>
      <c r="AB47" s="27" t="e">
        <f t="shared" si="3"/>
        <v>#DIV/0!</v>
      </c>
      <c r="AC47" s="28" t="e">
        <f>VLOOKUP(AB47,Grading!$A$1:$B$102,2,TRUE)</f>
        <v>#DIV/0!</v>
      </c>
      <c r="AD47" s="48"/>
      <c r="AE47" s="27">
        <f t="shared" si="1"/>
        <v>0</v>
      </c>
      <c r="AF47" s="27">
        <f t="shared" si="4"/>
        <v>0</v>
      </c>
      <c r="AG47" s="28">
        <f>VLOOKUP(AF47,Grading!$A$1:$B$102,2,TRUE)</f>
        <v>5</v>
      </c>
      <c r="AH47" s="11"/>
      <c r="AI47" s="27">
        <f t="shared" si="5"/>
        <v>0</v>
      </c>
      <c r="AJ47" s="28">
        <f>VLOOKUP(AI47,Grading!$A$1:$B$102,2,TRUE)</f>
        <v>5</v>
      </c>
      <c r="AK47" s="28" t="e">
        <f t="shared" si="2"/>
        <v>#DIV/0!</v>
      </c>
      <c r="AL47" s="39" t="e">
        <f t="shared" si="6"/>
        <v>#DIV/0!</v>
      </c>
    </row>
    <row r="48" ht="15.75" customHeight="1" spans="2:38"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AK48" s="39" t="s">
        <v>14</v>
      </c>
      <c r="AL48" s="39">
        <f>COUNTIF(AL6:AL47,"FAIL")</f>
        <v>0</v>
      </c>
    </row>
    <row r="49" ht="15.75" customHeight="1" spans="2:38"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AK49" s="39" t="s">
        <v>15</v>
      </c>
      <c r="AL49" s="39">
        <f>COUNTIF(AL6:AL47,"PASS")</f>
        <v>0</v>
      </c>
    </row>
    <row r="50" ht="15.75" customHeight="1" spans="2:18"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</row>
    <row r="51" ht="15.75" customHeight="1" spans="2:18"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</row>
    <row r="52" ht="15.75" customHeight="1" spans="2:18"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</row>
    <row r="53" ht="15.75" customHeight="1" spans="2:18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</row>
    <row r="54" ht="15.75" customHeight="1" spans="2:18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</row>
    <row r="55" ht="15.75" customHeight="1" spans="2:18"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</row>
    <row r="56" ht="15.75" customHeight="1" spans="2:18"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</row>
    <row r="57" ht="15.75" customHeight="1" spans="2:18"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</row>
    <row r="58" ht="15.75" customHeight="1" spans="2:18"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</row>
    <row r="59" ht="15.75" customHeight="1" spans="2:18"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</row>
    <row r="60" ht="15.75" customHeight="1" spans="2:18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</row>
    <row r="61" ht="15.75" customHeight="1" spans="2:18"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</row>
    <row r="62" ht="15.75" customHeight="1" spans="2:18"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</row>
    <row r="63" ht="15.75" customHeight="1" spans="2:18"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</row>
    <row r="64" ht="15.75" customHeight="1" spans="2:18"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</row>
    <row r="65" ht="15.75" customHeight="1" spans="2:18"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</row>
    <row r="66" ht="15.75" customHeight="1" spans="2:18"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</row>
    <row r="67" ht="15.75" customHeight="1" spans="2:18"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</row>
    <row r="68" ht="15.75" customHeight="1" spans="2:18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</row>
    <row r="69" ht="15.75" customHeight="1" spans="2:18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</row>
    <row r="70" ht="15.75" customHeight="1" spans="2:18"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</row>
    <row r="71" ht="15.75" customHeight="1" spans="2:18"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ht="15.75" customHeight="1" spans="2:18"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</row>
    <row r="73" ht="15.75" customHeight="1" spans="2:18"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</row>
    <row r="74" ht="15.75" customHeight="1" spans="2:18"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ht="15.75" customHeight="1" spans="2:18"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ht="15.75" customHeight="1" spans="2:18"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ht="15.75" customHeight="1" spans="2:18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ht="15.75" customHeight="1" spans="2:18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ht="15.75" customHeight="1" spans="2:18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ht="15.75" customHeight="1" spans="2:18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ht="15.75" customHeight="1" spans="2:18"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ht="15.75" customHeight="1" spans="2:18"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ht="15.75" customHeight="1" spans="2:18"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ht="15.75" customHeight="1" spans="2:18"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ht="15.75" customHeight="1" spans="2:18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ht="15.75" customHeight="1" spans="2:18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ht="15.75" customHeight="1" spans="2:18"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ht="15.75" customHeight="1" spans="2:18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ht="15.75" customHeight="1" spans="2:18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ht="15.75" customHeight="1" spans="2:18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ht="15.75" customHeight="1" spans="2:18"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ht="15.75" customHeight="1" spans="2:18"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ht="15.75" customHeight="1" spans="2:18"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ht="15.75" customHeight="1" spans="2:18"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ht="15.75" customHeight="1" spans="2:18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ht="15.75" customHeight="1" spans="2:18"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ht="15.75" customHeight="1" spans="2:18"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ht="15.75" customHeight="1" spans="2:18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ht="15.75" customHeight="1" spans="2:18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ht="15.75" customHeight="1" spans="2:18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ht="15.75" customHeight="1" spans="2:18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ht="15.75" customHeight="1" spans="2:18"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ht="15.75" customHeight="1" spans="2:18"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ht="15.75" customHeight="1" spans="2:18"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ht="15.75" customHeight="1" spans="2:18"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ht="15.75" customHeight="1" spans="2:18"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ht="15.75" customHeight="1" spans="2:18"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ht="15.75" customHeight="1" spans="2:18"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ht="15.75" customHeight="1" spans="2:18"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ht="15.75" customHeight="1" spans="2:18"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ht="15.75" customHeight="1" spans="2:18"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ht="15.75" customHeight="1" spans="2:18"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ht="15.75" customHeight="1" spans="2:18"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ht="15.75" customHeight="1" spans="2:18"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ht="15.75" customHeight="1" spans="2:18"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ht="15.75" customHeight="1" spans="2:18"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ht="15.75" customHeight="1" spans="2:18"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ht="15.75" customHeight="1" spans="2:18"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ht="15.75" customHeight="1" spans="2:18"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ht="15.75" customHeight="1" spans="2:18"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ht="15.75" customHeight="1" spans="2:18"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ht="15.75" customHeight="1" spans="2:18"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ht="15.75" customHeight="1" spans="2:18"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ht="15.75" customHeight="1" spans="2:18"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ht="15.75" customHeight="1" spans="2:18"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ht="15.75" customHeight="1" spans="2:18"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ht="15.75" customHeight="1" spans="2:18"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ht="15.75" customHeight="1" spans="2:18"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ht="15.75" customHeight="1" spans="2:18"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ht="15.75" customHeight="1" spans="2:18"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ht="15.75" customHeight="1" spans="2:18"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ht="15.75" customHeight="1" spans="2:18"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ht="15.75" customHeight="1" spans="2:18"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ht="15.75" customHeight="1" spans="2:18"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ht="15.75" customHeight="1" spans="2:18"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ht="15.75" customHeight="1" spans="2:18"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ht="15.75" customHeight="1" spans="2:18"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ht="15.75" customHeight="1" spans="2:18"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ht="15.75" customHeight="1" spans="2:18"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ht="15.75" customHeight="1" spans="2:18"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ht="15.75" customHeight="1" spans="2:18"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ht="15.75" customHeight="1" spans="2:18"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ht="15.75" customHeight="1" spans="2:18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ht="15.75" customHeight="1" spans="2:18"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ht="15.75" customHeight="1" spans="2:18"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ht="15.75" customHeight="1" spans="2:18"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ht="15.75" customHeight="1" spans="2:18"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ht="15.75" customHeight="1" spans="2:18"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ht="15.75" customHeight="1" spans="2:18"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ht="15.75" customHeight="1" spans="2:18"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ht="15.75" customHeight="1" spans="2:18"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ht="15.75" customHeight="1" spans="2:18"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ht="15.75" customHeight="1" spans="2:18"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ht="15.75" customHeight="1" spans="2:18"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ht="15.75" customHeight="1" spans="2:18"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ht="15.75" customHeight="1" spans="2:18"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ht="15.75" customHeight="1" spans="2:18"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ht="15.75" customHeight="1" spans="2:18"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ht="15.75" customHeight="1" spans="2:18"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ht="15.75" customHeight="1" spans="2:18"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ht="15.75" customHeight="1" spans="2:18"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ht="15.75" customHeight="1" spans="2:18"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ht="15.75" customHeight="1" spans="2:18"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ht="15.75" customHeight="1" spans="2:18"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ht="15.75" customHeight="1" spans="2:18"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ht="15.75" customHeight="1" spans="2:18"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ht="15.75" customHeight="1" spans="2:18"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ht="15.75" customHeight="1" spans="2:18"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ht="15.75" customHeight="1" spans="2:18"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ht="15.75" customHeight="1" spans="2:18"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ht="15.75" customHeight="1" spans="2:18"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ht="15.75" customHeight="1" spans="2:18"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ht="15.75" customHeight="1" spans="2:18"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ht="15.75" customHeight="1" spans="2:18"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ht="15.75" customHeight="1" spans="2:18"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ht="15.75" customHeight="1" spans="2:18"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ht="15.75" customHeight="1" spans="2:18"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ht="15.75" customHeight="1" spans="2:18"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ht="15.75" customHeight="1" spans="2:18"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ht="15.75" customHeight="1" spans="2:18"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ht="15.75" customHeight="1" spans="2:18"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ht="15.75" customHeight="1" spans="2:18"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ht="15.75" customHeight="1" spans="2:18"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ht="15.75" customHeight="1" spans="2:18"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ht="15.75" customHeight="1" spans="2:18"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ht="15.75" customHeight="1" spans="2:18"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ht="15.75" customHeight="1" spans="2:18"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ht="15.75" customHeight="1" spans="2:18"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ht="15.75" customHeight="1" spans="2:18"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ht="15.75" customHeight="1" spans="2:18"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ht="15.75" customHeight="1" spans="2:18"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ht="15.75" customHeight="1" spans="2:18"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ht="15.75" customHeight="1" spans="2:18"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ht="15.75" customHeight="1" spans="2:18"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ht="15.75" customHeight="1" spans="2:18"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ht="15.75" customHeight="1" spans="2:18"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ht="15.75" customHeight="1" spans="2:18"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ht="15.75" customHeight="1" spans="2:18"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ht="15.75" customHeight="1" spans="2:18"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ht="15.75" customHeight="1" spans="2:18"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ht="15.75" customHeight="1" spans="2:18"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ht="15.75" customHeight="1" spans="2:18"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ht="15.75" customHeight="1" spans="2:18"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ht="15.75" customHeight="1" spans="2:18"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ht="15.75" customHeight="1" spans="2:18"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ht="15.75" customHeight="1" spans="2:18"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ht="15.75" customHeight="1" spans="2:18"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ht="15.75" customHeight="1" spans="2:18"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ht="15.75" customHeight="1" spans="2:18"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ht="15.75" customHeight="1" spans="2:18"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ht="15.75" customHeight="1" spans="2:18"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32">
    <mergeCell ref="A1:AK1"/>
    <mergeCell ref="D2:P2"/>
    <mergeCell ref="S2:AC2"/>
    <mergeCell ref="AD2:AG2"/>
    <mergeCell ref="AH2:AJ2"/>
    <mergeCell ref="A4:C4"/>
    <mergeCell ref="A5:C5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A3:AA4"/>
    <mergeCell ref="AB3:AB4"/>
    <mergeCell ref="AC3:AC4"/>
    <mergeCell ref="AE3:AE4"/>
    <mergeCell ref="AF3:AF4"/>
    <mergeCell ref="AG3:AG4"/>
    <mergeCell ref="AI3:AI4"/>
    <mergeCell ref="AJ3:AJ4"/>
    <mergeCell ref="AK3:AK4"/>
    <mergeCell ref="A2:C3"/>
  </mergeCells>
  <conditionalFormatting sqref="AK6:AK47">
    <cfRule type="cellIs" dxfId="0" priority="4" operator="lessThan">
      <formula>3.1</formula>
    </cfRule>
    <cfRule type="cellIs" dxfId="1" priority="5" operator="greaterThan">
      <formula>3</formula>
    </cfRule>
  </conditionalFormatting>
  <conditionalFormatting sqref="D6:R47 T40:Z47 AD40:AD47">
    <cfRule type="containsBlanks" dxfId="2" priority="1">
      <formula>LEN(TRIM(D6))=0</formula>
    </cfRule>
    <cfRule type="cellIs" dxfId="3" priority="2" operator="equal">
      <formula>0</formula>
    </cfRule>
    <cfRule type="cellIs" dxfId="4" priority="3" operator="equal">
      <formula>1</formula>
    </cfRule>
  </conditionalFormatting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85"/>
  <sheetViews>
    <sheetView tabSelected="1" zoomScale="85" zoomScaleNormal="85" workbookViewId="0">
      <pane xSplit="2" ySplit="5" topLeftCell="C6" activePane="bottomRight" state="frozen"/>
      <selection/>
      <selection pane="topRight"/>
      <selection pane="bottomLeft"/>
      <selection pane="bottomRight" activeCell="A1" sqref="A1:AO1"/>
    </sheetView>
  </sheetViews>
  <sheetFormatPr defaultColWidth="14.4272727272727" defaultRowHeight="15" customHeight="1"/>
  <cols>
    <col min="1" max="1" width="3" customWidth="1"/>
    <col min="2" max="2" width="38.7090909090909" customWidth="1"/>
    <col min="3" max="11" width="3.70909090909091" customWidth="1"/>
    <col min="12" max="18" width="3.57272727272727" customWidth="1"/>
    <col min="19" max="19" width="3.86363636363636" customWidth="1"/>
    <col min="20" max="20" width="4.13636363636364" customWidth="1"/>
    <col min="21" max="21" width="3.57272727272727" customWidth="1"/>
    <col min="22" max="24" width="4.70909090909091" customWidth="1"/>
    <col min="25" max="25" width="7.70909090909091" customWidth="1"/>
    <col min="26" max="26" width="4.29090909090909" customWidth="1"/>
    <col min="27" max="27" width="7.13636363636364" customWidth="1"/>
    <col min="28" max="28" width="4.29090909090909" customWidth="1"/>
    <col min="29" max="29" width="6.86363636363636" customWidth="1"/>
    <col min="30" max="30" width="5" customWidth="1"/>
    <col min="31" max="31" width="7.70909090909091" customWidth="1"/>
    <col min="32" max="32" width="4.86363636363636" customWidth="1"/>
    <col min="33" max="33" width="7.86363636363636" customWidth="1"/>
    <col min="34" max="34" width="5.42727272727273" customWidth="1"/>
    <col min="35" max="35" width="7.70909090909091" customWidth="1"/>
    <col min="36" max="36" width="5.13636363636364" customWidth="1"/>
    <col min="37" max="37" width="4" customWidth="1"/>
    <col min="38" max="38" width="7.70909090909091" customWidth="1"/>
    <col min="39" max="39" width="7.42727272727273" customWidth="1"/>
    <col min="40" max="40" width="10.4272727272727" customWidth="1"/>
    <col min="41" max="42" width="9.13636363636364" customWidth="1"/>
  </cols>
  <sheetData>
    <row r="1" ht="26" spans="1:42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1"/>
      <c r="AP1" s="58"/>
    </row>
    <row r="2" spans="1:42">
      <c r="A2" s="3" t="s">
        <v>1</v>
      </c>
      <c r="B2" s="5"/>
      <c r="C2" s="32"/>
      <c r="D2" s="32"/>
      <c r="E2" s="32"/>
      <c r="F2" s="32"/>
      <c r="G2" s="32"/>
      <c r="H2" s="32"/>
      <c r="I2" s="32"/>
      <c r="J2" s="32"/>
      <c r="K2" s="6" t="s">
        <v>17</v>
      </c>
      <c r="L2" s="42"/>
      <c r="M2" s="43"/>
      <c r="N2" s="32"/>
      <c r="O2" s="32"/>
      <c r="P2" s="32"/>
      <c r="Q2" s="32"/>
      <c r="R2" s="32"/>
      <c r="S2" s="6" t="s">
        <v>18</v>
      </c>
      <c r="T2" s="2"/>
      <c r="U2" s="2"/>
      <c r="V2" s="2"/>
      <c r="W2" s="2"/>
      <c r="X2" s="2"/>
      <c r="Y2" s="2"/>
      <c r="Z2" s="2"/>
      <c r="AA2" s="21"/>
      <c r="AB2" s="6" t="s">
        <v>19</v>
      </c>
      <c r="AC2" s="2"/>
      <c r="AD2" s="2"/>
      <c r="AE2" s="21"/>
      <c r="AF2" s="6" t="s">
        <v>20</v>
      </c>
      <c r="AG2" s="2"/>
      <c r="AH2" s="2"/>
      <c r="AI2" s="21"/>
      <c r="AJ2" s="6" t="s">
        <v>21</v>
      </c>
      <c r="AK2" s="2"/>
      <c r="AL2" s="2"/>
      <c r="AM2" s="21"/>
      <c r="AN2" s="6" t="s">
        <v>22</v>
      </c>
      <c r="AO2" s="21"/>
      <c r="AP2" s="59"/>
    </row>
    <row r="3" ht="33.75" customHeight="1" spans="1:42">
      <c r="A3" s="7"/>
      <c r="B3" s="9"/>
      <c r="C3" s="33"/>
      <c r="D3" s="33"/>
      <c r="E3" s="33"/>
      <c r="F3" s="33"/>
      <c r="G3" s="33"/>
      <c r="H3" s="33"/>
      <c r="I3" s="33"/>
      <c r="J3" s="33"/>
      <c r="K3" s="33"/>
      <c r="L3" s="44"/>
      <c r="M3" s="45"/>
      <c r="N3" s="46"/>
      <c r="O3" s="46"/>
      <c r="P3" s="46"/>
      <c r="Q3" s="46"/>
      <c r="R3" s="46"/>
      <c r="S3" s="10"/>
      <c r="T3" s="10"/>
      <c r="U3" s="10"/>
      <c r="V3" s="10"/>
      <c r="W3" s="10"/>
      <c r="X3" s="10"/>
      <c r="Y3" s="22" t="s">
        <v>3</v>
      </c>
      <c r="Z3" s="23" t="s">
        <v>4</v>
      </c>
      <c r="AA3" s="22" t="s">
        <v>5</v>
      </c>
      <c r="AB3" s="10" t="s">
        <v>23</v>
      </c>
      <c r="AC3" s="22" t="s">
        <v>7</v>
      </c>
      <c r="AD3" s="23" t="s">
        <v>4</v>
      </c>
      <c r="AE3" s="22" t="s">
        <v>8</v>
      </c>
      <c r="AF3" s="50" t="s">
        <v>24</v>
      </c>
      <c r="AG3" s="22" t="s">
        <v>25</v>
      </c>
      <c r="AH3" s="23" t="s">
        <v>4</v>
      </c>
      <c r="AI3" s="22" t="s">
        <v>26</v>
      </c>
      <c r="AJ3" s="10" t="s">
        <v>27</v>
      </c>
      <c r="AK3" s="23" t="s">
        <v>4</v>
      </c>
      <c r="AL3" s="22" t="s">
        <v>28</v>
      </c>
      <c r="AM3" s="22" t="s">
        <v>29</v>
      </c>
      <c r="AN3" s="22" t="s">
        <v>11</v>
      </c>
      <c r="AO3" s="29" t="s">
        <v>22</v>
      </c>
      <c r="AP3" s="60"/>
    </row>
    <row r="4" spans="1:42">
      <c r="A4" s="12" t="s">
        <v>12</v>
      </c>
      <c r="B4" s="2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13"/>
      <c r="T4" s="13"/>
      <c r="U4" s="13"/>
      <c r="V4" s="13"/>
      <c r="W4" s="13"/>
      <c r="X4" s="13"/>
      <c r="Y4" s="24"/>
      <c r="Z4" s="24"/>
      <c r="AA4" s="24"/>
      <c r="AB4" s="13"/>
      <c r="AC4" s="24"/>
      <c r="AD4" s="24"/>
      <c r="AE4" s="24"/>
      <c r="AF4" s="13"/>
      <c r="AG4" s="24"/>
      <c r="AH4" s="24"/>
      <c r="AI4" s="24"/>
      <c r="AJ4" s="13"/>
      <c r="AK4" s="24"/>
      <c r="AL4" s="24"/>
      <c r="AM4" s="24"/>
      <c r="AN4" s="24"/>
      <c r="AO4" s="24"/>
      <c r="AP4" s="60"/>
    </row>
    <row r="5" ht="14.5" spans="1:42">
      <c r="A5" s="15" t="s">
        <v>13</v>
      </c>
      <c r="B5" s="2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17"/>
      <c r="T5" s="17"/>
      <c r="U5" s="17"/>
      <c r="V5" s="17"/>
      <c r="W5" s="17"/>
      <c r="X5" s="17"/>
      <c r="Y5" s="25">
        <f t="shared" ref="Y5:Y47" si="0">SUM(S5:X5)</f>
        <v>0</v>
      </c>
      <c r="Z5" s="17">
        <v>100</v>
      </c>
      <c r="AA5" s="26">
        <f>VLOOKUP(Z5,Grading!A1:B101,2,TRUE)</f>
        <v>1</v>
      </c>
      <c r="AB5" s="17">
        <v>40</v>
      </c>
      <c r="AC5" s="25">
        <f t="shared" ref="AC5:AC47" si="1">SUM(AB5)</f>
        <v>40</v>
      </c>
      <c r="AD5" s="17">
        <f t="shared" ref="AD5:AD47" si="2">ROUNDUP(AC5*100/$AC$5,0)</f>
        <v>100</v>
      </c>
      <c r="AE5" s="26">
        <f>VLOOKUP(AD5,Grading!A1:B101,2,TRUE)</f>
        <v>1</v>
      </c>
      <c r="AF5" s="51">
        <v>100</v>
      </c>
      <c r="AG5" s="55">
        <f t="shared" ref="AG5:AG47" si="3">SUM(AF5)</f>
        <v>100</v>
      </c>
      <c r="AH5" s="51">
        <f t="shared" ref="AH5:AH47" si="4">ROUNDUP(AG5*100/$AF$5,0)</f>
        <v>100</v>
      </c>
      <c r="AI5" s="26"/>
      <c r="AJ5" s="17">
        <v>100</v>
      </c>
      <c r="AK5" s="17">
        <f t="shared" ref="AK5:AK47" si="5">ROUNDUP(AJ5*100/$AJ$5,0)</f>
        <v>100</v>
      </c>
      <c r="AL5" s="26">
        <f>VLOOKUP(AK5,Grading!A1:B101,2,TRUE)</f>
        <v>1</v>
      </c>
      <c r="AM5" s="26">
        <f>ROUNDDOWN((AA5*0.2)+(AE5*0.2)+(AL5*0.6),1)</f>
        <v>1</v>
      </c>
      <c r="AN5" s="30"/>
      <c r="AO5" s="30"/>
      <c r="AP5" s="49"/>
    </row>
    <row r="6" ht="14.5" spans="1:42">
      <c r="A6" s="18">
        <f t="array" ref="A6:A47">_xlfn.SEQUENCE(42,1)</f>
        <v>1</v>
      </c>
      <c r="B6" s="35" t="s">
        <v>30</v>
      </c>
      <c r="C6" s="36"/>
      <c r="D6" s="36"/>
      <c r="E6" s="36"/>
      <c r="F6" s="36"/>
      <c r="G6" s="36"/>
      <c r="H6" s="36"/>
      <c r="I6" s="36"/>
      <c r="J6" s="36"/>
      <c r="K6" s="10"/>
      <c r="L6" s="10"/>
      <c r="M6" s="20"/>
      <c r="N6" s="20"/>
      <c r="O6" s="20"/>
      <c r="P6" s="20"/>
      <c r="Q6" s="20"/>
      <c r="R6" s="20"/>
      <c r="S6" s="48"/>
      <c r="T6" s="48"/>
      <c r="U6" s="48"/>
      <c r="V6" s="48"/>
      <c r="W6" s="48"/>
      <c r="X6" s="48"/>
      <c r="Y6" s="27">
        <f t="shared" si="0"/>
        <v>0</v>
      </c>
      <c r="Z6" s="27" t="e">
        <f t="shared" ref="Z6:Z47" si="6">ROUNDUP(Y6*100/$Y$5,0)</f>
        <v>#DIV/0!</v>
      </c>
      <c r="AA6" s="28" t="e">
        <f>VLOOKUP(Z6,Grading!$A$1:$B$102,2,TRUE)</f>
        <v>#DIV/0!</v>
      </c>
      <c r="AB6" s="52"/>
      <c r="AC6" s="27">
        <f t="shared" si="1"/>
        <v>0</v>
      </c>
      <c r="AD6" s="27">
        <f t="shared" si="2"/>
        <v>0</v>
      </c>
      <c r="AE6" s="28">
        <f>VLOOKUP(AD6,Grading!$A$1:$B$102,2,TRUE)</f>
        <v>5</v>
      </c>
      <c r="AF6" s="53"/>
      <c r="AG6" s="56">
        <f t="shared" si="3"/>
        <v>0</v>
      </c>
      <c r="AH6" s="51">
        <f t="shared" si="4"/>
        <v>0</v>
      </c>
      <c r="AI6" s="28">
        <f>VLOOKUP(AH6,Grading!$A$1:$B$102,2,TRUE)</f>
        <v>5</v>
      </c>
      <c r="AJ6" s="20"/>
      <c r="AK6" s="20">
        <f t="shared" si="5"/>
        <v>0</v>
      </c>
      <c r="AL6" s="57">
        <f>VLOOKUP(AK6,Grading!$A$1:$B$102,2,TRUE)</f>
        <v>5</v>
      </c>
      <c r="AM6" s="31" t="e">
        <f t="shared" ref="AM6:AM47" si="7">ROUNDDOWN((AA6*0.1)+(AE6*0.2)+(AI6*0.4)+(AL6*0.3),1)</f>
        <v>#DIV/0!</v>
      </c>
      <c r="AN6" s="31" t="e">
        <f>Midterms!AK6</f>
        <v>#DIV/0!</v>
      </c>
      <c r="AO6" s="31" t="e">
        <f t="shared" ref="AO6:AO47" si="8">(AM6*0.5)+(AN6*0.5)</f>
        <v>#DIV/0!</v>
      </c>
      <c r="AP6" s="61"/>
    </row>
    <row r="7" ht="14.5" spans="1:42">
      <c r="A7" s="18">
        <v>2</v>
      </c>
      <c r="B7" s="37" t="s">
        <v>31</v>
      </c>
      <c r="C7" s="36"/>
      <c r="D7" s="36"/>
      <c r="E7" s="36"/>
      <c r="F7" s="36"/>
      <c r="G7" s="36"/>
      <c r="H7" s="36"/>
      <c r="I7" s="36"/>
      <c r="J7" s="36"/>
      <c r="K7" s="10"/>
      <c r="L7" s="10"/>
      <c r="M7" s="20"/>
      <c r="N7" s="20"/>
      <c r="O7" s="20"/>
      <c r="P7" s="20"/>
      <c r="Q7" s="20"/>
      <c r="R7" s="20"/>
      <c r="S7" s="48"/>
      <c r="T7" s="48"/>
      <c r="U7" s="48"/>
      <c r="V7" s="48"/>
      <c r="W7" s="48"/>
      <c r="X7" s="48"/>
      <c r="Y7" s="27">
        <f t="shared" si="0"/>
        <v>0</v>
      </c>
      <c r="Z7" s="27" t="e">
        <f t="shared" si="6"/>
        <v>#DIV/0!</v>
      </c>
      <c r="AA7" s="28" t="e">
        <f>VLOOKUP(Z7,Grading!$A$1:$B$102,2,TRUE)</f>
        <v>#DIV/0!</v>
      </c>
      <c r="AB7" s="52"/>
      <c r="AC7" s="27">
        <f t="shared" si="1"/>
        <v>0</v>
      </c>
      <c r="AD7" s="27">
        <f t="shared" si="2"/>
        <v>0</v>
      </c>
      <c r="AE7" s="28">
        <f>VLOOKUP(AD7,Grading!$A$1:$B$102,2,TRUE)</f>
        <v>5</v>
      </c>
      <c r="AF7" s="54"/>
      <c r="AG7" s="56">
        <f t="shared" si="3"/>
        <v>0</v>
      </c>
      <c r="AH7" s="51">
        <f t="shared" si="4"/>
        <v>0</v>
      </c>
      <c r="AI7" s="28">
        <f>VLOOKUP(AH7,Grading!$A$1:$B$102,2,TRUE)</f>
        <v>5</v>
      </c>
      <c r="AJ7" s="20"/>
      <c r="AK7" s="20">
        <f t="shared" si="5"/>
        <v>0</v>
      </c>
      <c r="AL7" s="57">
        <f>VLOOKUP(AK7,Grading!$A$1:$B$102,2,TRUE)</f>
        <v>5</v>
      </c>
      <c r="AM7" s="31" t="e">
        <f t="shared" si="7"/>
        <v>#DIV/0!</v>
      </c>
      <c r="AN7" s="31" t="e">
        <f>Midterms!AK7</f>
        <v>#DIV/0!</v>
      </c>
      <c r="AO7" s="31" t="e">
        <f t="shared" si="8"/>
        <v>#DIV/0!</v>
      </c>
      <c r="AP7" s="61"/>
    </row>
    <row r="8" ht="14.5" spans="1:42">
      <c r="A8" s="18">
        <v>3</v>
      </c>
      <c r="B8" s="35" t="s">
        <v>32</v>
      </c>
      <c r="C8" s="36"/>
      <c r="D8" s="36"/>
      <c r="E8" s="36"/>
      <c r="F8" s="36"/>
      <c r="G8" s="36"/>
      <c r="H8" s="36"/>
      <c r="I8" s="36"/>
      <c r="J8" s="36"/>
      <c r="K8" s="10"/>
      <c r="L8" s="10"/>
      <c r="M8" s="20"/>
      <c r="N8" s="20"/>
      <c r="O8" s="20"/>
      <c r="P8" s="20"/>
      <c r="Q8" s="20"/>
      <c r="R8" s="20"/>
      <c r="S8" s="48"/>
      <c r="T8" s="48"/>
      <c r="U8" s="48"/>
      <c r="V8" s="48"/>
      <c r="W8" s="48"/>
      <c r="X8" s="48"/>
      <c r="Y8" s="27">
        <f t="shared" si="0"/>
        <v>0</v>
      </c>
      <c r="Z8" s="27" t="e">
        <f t="shared" si="6"/>
        <v>#DIV/0!</v>
      </c>
      <c r="AA8" s="28" t="e">
        <f>VLOOKUP(Z8,Grading!$A$1:$B$102,2,TRUE)</f>
        <v>#DIV/0!</v>
      </c>
      <c r="AB8" s="52"/>
      <c r="AC8" s="27">
        <f t="shared" si="1"/>
        <v>0</v>
      </c>
      <c r="AD8" s="27">
        <f t="shared" si="2"/>
        <v>0</v>
      </c>
      <c r="AE8" s="28">
        <f>VLOOKUP(AD8,Grading!$A$1:$B$102,2,TRUE)</f>
        <v>5</v>
      </c>
      <c r="AF8" s="54"/>
      <c r="AG8" s="56">
        <f t="shared" si="3"/>
        <v>0</v>
      </c>
      <c r="AH8" s="51">
        <f t="shared" si="4"/>
        <v>0</v>
      </c>
      <c r="AI8" s="28">
        <f>VLOOKUP(AH8,Grading!$A$1:$B$102,2,TRUE)</f>
        <v>5</v>
      </c>
      <c r="AJ8" s="20"/>
      <c r="AK8" s="20">
        <f t="shared" si="5"/>
        <v>0</v>
      </c>
      <c r="AL8" s="57">
        <f>VLOOKUP(AK8,Grading!$A$1:$B$102,2,TRUE)</f>
        <v>5</v>
      </c>
      <c r="AM8" s="31" t="e">
        <f t="shared" si="7"/>
        <v>#DIV/0!</v>
      </c>
      <c r="AN8" s="31" t="e">
        <f>Midterms!AK8</f>
        <v>#DIV/0!</v>
      </c>
      <c r="AO8" s="31" t="e">
        <f t="shared" si="8"/>
        <v>#DIV/0!</v>
      </c>
      <c r="AP8" s="61"/>
    </row>
    <row r="9" ht="14.5" spans="1:42">
      <c r="A9" s="18">
        <v>4</v>
      </c>
      <c r="B9" s="35"/>
      <c r="C9" s="36"/>
      <c r="D9" s="36"/>
      <c r="E9" s="36"/>
      <c r="F9" s="36"/>
      <c r="G9" s="36"/>
      <c r="H9" s="36"/>
      <c r="I9" s="36"/>
      <c r="J9" s="36"/>
      <c r="K9" s="10"/>
      <c r="L9" s="10"/>
      <c r="M9" s="20"/>
      <c r="N9" s="20"/>
      <c r="O9" s="20"/>
      <c r="P9" s="20"/>
      <c r="Q9" s="20"/>
      <c r="R9" s="20"/>
      <c r="S9" s="48"/>
      <c r="T9" s="48"/>
      <c r="U9" s="48"/>
      <c r="V9" s="49"/>
      <c r="W9" s="48"/>
      <c r="X9" s="49"/>
      <c r="Y9" s="27">
        <f t="shared" si="0"/>
        <v>0</v>
      </c>
      <c r="Z9" s="27" t="e">
        <f t="shared" si="6"/>
        <v>#DIV/0!</v>
      </c>
      <c r="AA9" s="28" t="e">
        <f>VLOOKUP(Z9,Grading!$A$1:$B$102,2,TRUE)</f>
        <v>#DIV/0!</v>
      </c>
      <c r="AB9" s="52"/>
      <c r="AC9" s="27">
        <f t="shared" si="1"/>
        <v>0</v>
      </c>
      <c r="AD9" s="27">
        <f t="shared" si="2"/>
        <v>0</v>
      </c>
      <c r="AE9" s="28">
        <f>VLOOKUP(AD9,Grading!$A$1:$B$102,2,TRUE)</f>
        <v>5</v>
      </c>
      <c r="AF9" s="54"/>
      <c r="AG9" s="56">
        <f t="shared" si="3"/>
        <v>0</v>
      </c>
      <c r="AH9" s="51">
        <f t="shared" si="4"/>
        <v>0</v>
      </c>
      <c r="AI9" s="28">
        <f>VLOOKUP(AH9,Grading!$A$1:$B$102,2,TRUE)</f>
        <v>5</v>
      </c>
      <c r="AJ9" s="20"/>
      <c r="AK9" s="20">
        <f t="shared" si="5"/>
        <v>0</v>
      </c>
      <c r="AL9" s="57">
        <f>VLOOKUP(AK9,Grading!$A$1:$B$102,2,TRUE)</f>
        <v>5</v>
      </c>
      <c r="AM9" s="31" t="e">
        <f t="shared" si="7"/>
        <v>#DIV/0!</v>
      </c>
      <c r="AN9" s="31" t="e">
        <f>Midterms!AK9</f>
        <v>#DIV/0!</v>
      </c>
      <c r="AO9" s="31" t="e">
        <f t="shared" si="8"/>
        <v>#DIV/0!</v>
      </c>
      <c r="AP9" s="61"/>
    </row>
    <row r="10" ht="14.5" spans="1:42">
      <c r="A10" s="18">
        <v>5</v>
      </c>
      <c r="B10" s="37"/>
      <c r="C10" s="36"/>
      <c r="D10" s="36"/>
      <c r="E10" s="36"/>
      <c r="F10" s="36"/>
      <c r="G10" s="36"/>
      <c r="H10" s="36"/>
      <c r="I10" s="36"/>
      <c r="J10" s="36"/>
      <c r="K10" s="10"/>
      <c r="L10" s="10"/>
      <c r="M10" s="20"/>
      <c r="N10" s="20"/>
      <c r="O10" s="20"/>
      <c r="P10" s="20"/>
      <c r="Q10" s="20"/>
      <c r="R10" s="20"/>
      <c r="S10" s="48"/>
      <c r="T10" s="48"/>
      <c r="U10" s="48"/>
      <c r="V10" s="48"/>
      <c r="W10" s="48"/>
      <c r="X10" s="48"/>
      <c r="Y10" s="27">
        <f t="shared" si="0"/>
        <v>0</v>
      </c>
      <c r="Z10" s="27" t="e">
        <f t="shared" si="6"/>
        <v>#DIV/0!</v>
      </c>
      <c r="AA10" s="28" t="e">
        <f>VLOOKUP(Z10,Grading!$A$1:$B$102,2,TRUE)</f>
        <v>#DIV/0!</v>
      </c>
      <c r="AB10" s="52"/>
      <c r="AC10" s="27">
        <f t="shared" si="1"/>
        <v>0</v>
      </c>
      <c r="AD10" s="27">
        <f t="shared" si="2"/>
        <v>0</v>
      </c>
      <c r="AE10" s="28">
        <f>VLOOKUP(AD10,Grading!$A$1:$B$102,2,TRUE)</f>
        <v>5</v>
      </c>
      <c r="AF10" s="54"/>
      <c r="AG10" s="56">
        <f t="shared" si="3"/>
        <v>0</v>
      </c>
      <c r="AH10" s="51">
        <f t="shared" si="4"/>
        <v>0</v>
      </c>
      <c r="AI10" s="28">
        <f>VLOOKUP(AH10,Grading!$A$1:$B$102,2,TRUE)</f>
        <v>5</v>
      </c>
      <c r="AJ10" s="20"/>
      <c r="AK10" s="20">
        <f t="shared" si="5"/>
        <v>0</v>
      </c>
      <c r="AL10" s="57">
        <f>VLOOKUP(AK10,Grading!$A$1:$B$102,2,TRUE)</f>
        <v>5</v>
      </c>
      <c r="AM10" s="31" t="e">
        <f t="shared" si="7"/>
        <v>#DIV/0!</v>
      </c>
      <c r="AN10" s="31" t="e">
        <f>Midterms!AK10</f>
        <v>#DIV/0!</v>
      </c>
      <c r="AO10" s="31" t="e">
        <f t="shared" si="8"/>
        <v>#DIV/0!</v>
      </c>
      <c r="AP10" s="61"/>
    </row>
    <row r="11" ht="14.5" spans="1:42">
      <c r="A11" s="18">
        <v>6</v>
      </c>
      <c r="B11" s="35"/>
      <c r="C11" s="36"/>
      <c r="D11" s="36"/>
      <c r="E11" s="36"/>
      <c r="F11" s="36"/>
      <c r="G11" s="36"/>
      <c r="H11" s="36"/>
      <c r="I11" s="36"/>
      <c r="J11" s="36"/>
      <c r="K11" s="10"/>
      <c r="L11" s="10"/>
      <c r="M11" s="20"/>
      <c r="N11" s="20"/>
      <c r="O11" s="20"/>
      <c r="P11" s="20"/>
      <c r="Q11" s="20"/>
      <c r="R11" s="20"/>
      <c r="S11" s="48"/>
      <c r="T11" s="48"/>
      <c r="U11" s="48"/>
      <c r="V11" s="48"/>
      <c r="W11" s="48"/>
      <c r="X11" s="48"/>
      <c r="Y11" s="27">
        <f t="shared" si="0"/>
        <v>0</v>
      </c>
      <c r="Z11" s="27" t="e">
        <f t="shared" si="6"/>
        <v>#DIV/0!</v>
      </c>
      <c r="AA11" s="28" t="e">
        <f>VLOOKUP(Z11,Grading!$A$1:$B$102,2,TRUE)</f>
        <v>#DIV/0!</v>
      </c>
      <c r="AB11" s="52"/>
      <c r="AC11" s="27">
        <f t="shared" si="1"/>
        <v>0</v>
      </c>
      <c r="AD11" s="27">
        <f t="shared" si="2"/>
        <v>0</v>
      </c>
      <c r="AE11" s="28">
        <f>VLOOKUP(AD11,Grading!$A$1:$B$102,2,TRUE)</f>
        <v>5</v>
      </c>
      <c r="AF11" s="54"/>
      <c r="AG11" s="56">
        <f t="shared" si="3"/>
        <v>0</v>
      </c>
      <c r="AH11" s="51">
        <f t="shared" si="4"/>
        <v>0</v>
      </c>
      <c r="AI11" s="28">
        <f>VLOOKUP(AH11,Grading!$A$1:$B$102,2,TRUE)</f>
        <v>5</v>
      </c>
      <c r="AJ11" s="20"/>
      <c r="AK11" s="20">
        <f t="shared" si="5"/>
        <v>0</v>
      </c>
      <c r="AL11" s="57">
        <f>VLOOKUP(AK11,Grading!$A$1:$B$102,2,TRUE)</f>
        <v>5</v>
      </c>
      <c r="AM11" s="31" t="e">
        <f t="shared" si="7"/>
        <v>#DIV/0!</v>
      </c>
      <c r="AN11" s="31" t="e">
        <f>Midterms!AK11</f>
        <v>#DIV/0!</v>
      </c>
      <c r="AO11" s="31" t="e">
        <f t="shared" si="8"/>
        <v>#DIV/0!</v>
      </c>
      <c r="AP11" s="61"/>
    </row>
    <row r="12" ht="14.5" spans="1:42">
      <c r="A12" s="18">
        <v>7</v>
      </c>
      <c r="B12" s="37"/>
      <c r="C12" s="36"/>
      <c r="D12" s="36"/>
      <c r="E12" s="36"/>
      <c r="F12" s="36"/>
      <c r="G12" s="36"/>
      <c r="H12" s="36"/>
      <c r="I12" s="36"/>
      <c r="J12" s="36"/>
      <c r="K12" s="10"/>
      <c r="L12" s="10"/>
      <c r="M12" s="20"/>
      <c r="N12" s="20"/>
      <c r="O12" s="20"/>
      <c r="P12" s="20"/>
      <c r="Q12" s="20"/>
      <c r="R12" s="20"/>
      <c r="S12" s="48"/>
      <c r="T12" s="48"/>
      <c r="U12" s="48"/>
      <c r="V12" s="48"/>
      <c r="W12" s="48"/>
      <c r="X12" s="48"/>
      <c r="Y12" s="27">
        <f t="shared" si="0"/>
        <v>0</v>
      </c>
      <c r="Z12" s="27" t="e">
        <f t="shared" si="6"/>
        <v>#DIV/0!</v>
      </c>
      <c r="AA12" s="28" t="e">
        <f>VLOOKUP(Z12,Grading!$A$1:$B$102,2,TRUE)</f>
        <v>#DIV/0!</v>
      </c>
      <c r="AB12" s="52"/>
      <c r="AC12" s="27">
        <f t="shared" si="1"/>
        <v>0</v>
      </c>
      <c r="AD12" s="27">
        <f t="shared" si="2"/>
        <v>0</v>
      </c>
      <c r="AE12" s="28">
        <f>VLOOKUP(AD12,Grading!$A$1:$B$102,2,TRUE)</f>
        <v>5</v>
      </c>
      <c r="AF12" s="54"/>
      <c r="AG12" s="56">
        <f t="shared" si="3"/>
        <v>0</v>
      </c>
      <c r="AH12" s="51">
        <f t="shared" si="4"/>
        <v>0</v>
      </c>
      <c r="AI12" s="28">
        <f>VLOOKUP(AH12,Grading!$A$1:$B$102,2,TRUE)</f>
        <v>5</v>
      </c>
      <c r="AJ12" s="20"/>
      <c r="AK12" s="20">
        <f t="shared" si="5"/>
        <v>0</v>
      </c>
      <c r="AL12" s="57">
        <f>VLOOKUP(AK12,Grading!$A$1:$B$102,2,TRUE)</f>
        <v>5</v>
      </c>
      <c r="AM12" s="31" t="e">
        <f t="shared" si="7"/>
        <v>#DIV/0!</v>
      </c>
      <c r="AN12" s="31" t="e">
        <f>Midterms!AK12</f>
        <v>#DIV/0!</v>
      </c>
      <c r="AO12" s="31" t="e">
        <f t="shared" si="8"/>
        <v>#DIV/0!</v>
      </c>
      <c r="AP12" s="61"/>
    </row>
    <row r="13" ht="14.5" spans="1:42">
      <c r="A13" s="18">
        <v>8</v>
      </c>
      <c r="B13" s="37"/>
      <c r="C13" s="36"/>
      <c r="D13" s="36"/>
      <c r="E13" s="36"/>
      <c r="F13" s="36"/>
      <c r="G13" s="36"/>
      <c r="H13" s="36"/>
      <c r="I13" s="36"/>
      <c r="J13" s="36"/>
      <c r="K13" s="10"/>
      <c r="L13" s="10"/>
      <c r="M13" s="20"/>
      <c r="N13" s="20"/>
      <c r="O13" s="20"/>
      <c r="P13" s="20"/>
      <c r="Q13" s="20"/>
      <c r="R13" s="20"/>
      <c r="S13" s="49"/>
      <c r="T13" s="48"/>
      <c r="U13" s="48"/>
      <c r="V13" s="49"/>
      <c r="W13" s="49"/>
      <c r="X13" s="49"/>
      <c r="Y13" s="27">
        <f t="shared" si="0"/>
        <v>0</v>
      </c>
      <c r="Z13" s="27" t="e">
        <f t="shared" si="6"/>
        <v>#DIV/0!</v>
      </c>
      <c r="AA13" s="28" t="e">
        <f>VLOOKUP(Z13,Grading!$A$1:$B$102,2,TRUE)</f>
        <v>#DIV/0!</v>
      </c>
      <c r="AB13" s="52"/>
      <c r="AC13" s="27">
        <f t="shared" si="1"/>
        <v>0</v>
      </c>
      <c r="AD13" s="27">
        <f t="shared" si="2"/>
        <v>0</v>
      </c>
      <c r="AE13" s="28">
        <f>VLOOKUP(AD13,Grading!$A$1:$B$102,2,TRUE)</f>
        <v>5</v>
      </c>
      <c r="AF13" s="54"/>
      <c r="AG13" s="56">
        <f t="shared" si="3"/>
        <v>0</v>
      </c>
      <c r="AH13" s="51">
        <f t="shared" si="4"/>
        <v>0</v>
      </c>
      <c r="AI13" s="28">
        <f>VLOOKUP(AH13,Grading!$A$1:$B$102,2,TRUE)</f>
        <v>5</v>
      </c>
      <c r="AJ13" s="20"/>
      <c r="AK13" s="20">
        <f t="shared" si="5"/>
        <v>0</v>
      </c>
      <c r="AL13" s="57">
        <f>VLOOKUP(AK13,Grading!$A$1:$B$102,2,TRUE)</f>
        <v>5</v>
      </c>
      <c r="AM13" s="31" t="e">
        <f t="shared" si="7"/>
        <v>#DIV/0!</v>
      </c>
      <c r="AN13" s="31" t="e">
        <f>Midterms!AK13</f>
        <v>#DIV/0!</v>
      </c>
      <c r="AO13" s="31" t="e">
        <f t="shared" si="8"/>
        <v>#DIV/0!</v>
      </c>
      <c r="AP13" s="61"/>
    </row>
    <row r="14" ht="14.5" spans="1:42">
      <c r="A14" s="18">
        <v>9</v>
      </c>
      <c r="B14" s="35"/>
      <c r="C14" s="36"/>
      <c r="D14" s="36"/>
      <c r="E14" s="36"/>
      <c r="F14" s="36"/>
      <c r="G14" s="36"/>
      <c r="H14" s="36"/>
      <c r="I14" s="36"/>
      <c r="J14" s="36"/>
      <c r="K14" s="10"/>
      <c r="L14" s="10"/>
      <c r="M14" s="20"/>
      <c r="N14" s="20"/>
      <c r="O14" s="20"/>
      <c r="P14" s="20"/>
      <c r="Q14" s="20"/>
      <c r="R14" s="20"/>
      <c r="S14" s="49"/>
      <c r="T14" s="48"/>
      <c r="U14" s="48"/>
      <c r="V14" s="48"/>
      <c r="W14" s="48"/>
      <c r="X14" s="49"/>
      <c r="Y14" s="27">
        <f t="shared" si="0"/>
        <v>0</v>
      </c>
      <c r="Z14" s="27" t="e">
        <f t="shared" si="6"/>
        <v>#DIV/0!</v>
      </c>
      <c r="AA14" s="28" t="e">
        <f>VLOOKUP(Z14,Grading!$A$1:$B$102,2,TRUE)</f>
        <v>#DIV/0!</v>
      </c>
      <c r="AB14" s="52"/>
      <c r="AC14" s="27">
        <f t="shared" si="1"/>
        <v>0</v>
      </c>
      <c r="AD14" s="27">
        <f t="shared" si="2"/>
        <v>0</v>
      </c>
      <c r="AE14" s="28">
        <f>VLOOKUP(AD14,Grading!$A$1:$B$102,2,TRUE)</f>
        <v>5</v>
      </c>
      <c r="AF14" s="54"/>
      <c r="AG14" s="56">
        <f t="shared" si="3"/>
        <v>0</v>
      </c>
      <c r="AH14" s="51">
        <f t="shared" si="4"/>
        <v>0</v>
      </c>
      <c r="AI14" s="28">
        <f>VLOOKUP(AH14,Grading!$A$1:$B$102,2,TRUE)</f>
        <v>5</v>
      </c>
      <c r="AJ14" s="20"/>
      <c r="AK14" s="20">
        <f t="shared" si="5"/>
        <v>0</v>
      </c>
      <c r="AL14" s="57">
        <f>VLOOKUP(AK14,Grading!$A$1:$B$102,2,TRUE)</f>
        <v>5</v>
      </c>
      <c r="AM14" s="31" t="e">
        <f t="shared" si="7"/>
        <v>#DIV/0!</v>
      </c>
      <c r="AN14" s="31" t="e">
        <f>Midterms!AK14</f>
        <v>#DIV/0!</v>
      </c>
      <c r="AO14" s="31" t="e">
        <f t="shared" si="8"/>
        <v>#DIV/0!</v>
      </c>
      <c r="AP14" s="61"/>
    </row>
    <row r="15" ht="14.5" spans="1:42">
      <c r="A15" s="18">
        <v>10</v>
      </c>
      <c r="B15" s="37"/>
      <c r="C15" s="36"/>
      <c r="D15" s="36"/>
      <c r="E15" s="36"/>
      <c r="F15" s="36"/>
      <c r="G15" s="36"/>
      <c r="H15" s="36"/>
      <c r="I15" s="36"/>
      <c r="J15" s="36"/>
      <c r="K15" s="10"/>
      <c r="L15" s="10"/>
      <c r="M15" s="20"/>
      <c r="N15" s="20"/>
      <c r="O15" s="20"/>
      <c r="P15" s="20"/>
      <c r="Q15" s="20"/>
      <c r="R15" s="20"/>
      <c r="S15" s="48"/>
      <c r="T15" s="48"/>
      <c r="U15" s="48"/>
      <c r="V15" s="48"/>
      <c r="W15" s="48"/>
      <c r="X15" s="48"/>
      <c r="Y15" s="27">
        <f t="shared" si="0"/>
        <v>0</v>
      </c>
      <c r="Z15" s="27" t="e">
        <f t="shared" si="6"/>
        <v>#DIV/0!</v>
      </c>
      <c r="AA15" s="28" t="e">
        <f>VLOOKUP(Z15,Grading!$A$1:$B$102,2,TRUE)</f>
        <v>#DIV/0!</v>
      </c>
      <c r="AB15" s="52"/>
      <c r="AC15" s="27">
        <f t="shared" si="1"/>
        <v>0</v>
      </c>
      <c r="AD15" s="27">
        <f t="shared" si="2"/>
        <v>0</v>
      </c>
      <c r="AE15" s="28">
        <f>VLOOKUP(AD15,Grading!$A$1:$B$102,2,TRUE)</f>
        <v>5</v>
      </c>
      <c r="AF15" s="54"/>
      <c r="AG15" s="56">
        <f t="shared" si="3"/>
        <v>0</v>
      </c>
      <c r="AH15" s="51">
        <f t="shared" si="4"/>
        <v>0</v>
      </c>
      <c r="AI15" s="28">
        <f>VLOOKUP(AH15,Grading!$A$1:$B$102,2,TRUE)</f>
        <v>5</v>
      </c>
      <c r="AJ15" s="20"/>
      <c r="AK15" s="20">
        <f t="shared" si="5"/>
        <v>0</v>
      </c>
      <c r="AL15" s="57">
        <f>VLOOKUP(AK15,Grading!$A$1:$B$102,2,TRUE)</f>
        <v>5</v>
      </c>
      <c r="AM15" s="31" t="e">
        <f t="shared" si="7"/>
        <v>#DIV/0!</v>
      </c>
      <c r="AN15" s="31" t="e">
        <f>Midterms!AK15</f>
        <v>#DIV/0!</v>
      </c>
      <c r="AO15" s="31" t="e">
        <f t="shared" si="8"/>
        <v>#DIV/0!</v>
      </c>
      <c r="AP15" s="61"/>
    </row>
    <row r="16" ht="14.5" spans="1:42">
      <c r="A16" s="18">
        <v>11</v>
      </c>
      <c r="B16" s="35"/>
      <c r="C16" s="36"/>
      <c r="D16" s="36"/>
      <c r="E16" s="36"/>
      <c r="F16" s="36"/>
      <c r="G16" s="36"/>
      <c r="H16" s="36"/>
      <c r="I16" s="36"/>
      <c r="J16" s="36"/>
      <c r="K16" s="10"/>
      <c r="L16" s="10"/>
      <c r="M16" s="20"/>
      <c r="N16" s="20"/>
      <c r="O16" s="20"/>
      <c r="P16" s="20"/>
      <c r="Q16" s="20"/>
      <c r="R16" s="20"/>
      <c r="S16" s="48"/>
      <c r="T16" s="48"/>
      <c r="U16" s="48"/>
      <c r="V16" s="48"/>
      <c r="W16" s="48"/>
      <c r="X16" s="48"/>
      <c r="Y16" s="27">
        <f t="shared" si="0"/>
        <v>0</v>
      </c>
      <c r="Z16" s="27" t="e">
        <f t="shared" si="6"/>
        <v>#DIV/0!</v>
      </c>
      <c r="AA16" s="28" t="e">
        <f>VLOOKUP(Z16,Grading!$A$1:$B$102,2,TRUE)</f>
        <v>#DIV/0!</v>
      </c>
      <c r="AB16" s="52"/>
      <c r="AC16" s="27">
        <f t="shared" si="1"/>
        <v>0</v>
      </c>
      <c r="AD16" s="27">
        <f t="shared" si="2"/>
        <v>0</v>
      </c>
      <c r="AE16" s="28">
        <f>VLOOKUP(AD16,Grading!$A$1:$B$102,2,TRUE)</f>
        <v>5</v>
      </c>
      <c r="AF16" s="54"/>
      <c r="AG16" s="56">
        <f t="shared" si="3"/>
        <v>0</v>
      </c>
      <c r="AH16" s="51">
        <f t="shared" si="4"/>
        <v>0</v>
      </c>
      <c r="AI16" s="28">
        <f>VLOOKUP(AH16,Grading!$A$1:$B$102,2,TRUE)</f>
        <v>5</v>
      </c>
      <c r="AJ16" s="20"/>
      <c r="AK16" s="20">
        <f t="shared" si="5"/>
        <v>0</v>
      </c>
      <c r="AL16" s="57">
        <f>VLOOKUP(AK16,Grading!$A$1:$B$102,2,TRUE)</f>
        <v>5</v>
      </c>
      <c r="AM16" s="31" t="e">
        <f t="shared" si="7"/>
        <v>#DIV/0!</v>
      </c>
      <c r="AN16" s="31" t="e">
        <f>Midterms!AK16</f>
        <v>#DIV/0!</v>
      </c>
      <c r="AO16" s="31" t="e">
        <f t="shared" si="8"/>
        <v>#DIV/0!</v>
      </c>
      <c r="AP16" s="61"/>
    </row>
    <row r="17" ht="14.5" spans="1:42">
      <c r="A17" s="18">
        <v>12</v>
      </c>
      <c r="B17" s="37"/>
      <c r="C17" s="36"/>
      <c r="D17" s="36"/>
      <c r="E17" s="36"/>
      <c r="F17" s="36"/>
      <c r="G17" s="36"/>
      <c r="H17" s="36"/>
      <c r="I17" s="36"/>
      <c r="J17" s="36"/>
      <c r="K17" s="10"/>
      <c r="L17" s="10"/>
      <c r="M17" s="20"/>
      <c r="N17" s="20"/>
      <c r="O17" s="20"/>
      <c r="P17" s="20"/>
      <c r="Q17" s="20"/>
      <c r="R17" s="20"/>
      <c r="S17" s="48"/>
      <c r="T17" s="48"/>
      <c r="U17" s="48"/>
      <c r="V17" s="48"/>
      <c r="W17" s="48"/>
      <c r="X17" s="48"/>
      <c r="Y17" s="27">
        <f t="shared" si="0"/>
        <v>0</v>
      </c>
      <c r="Z17" s="27" t="e">
        <f t="shared" si="6"/>
        <v>#DIV/0!</v>
      </c>
      <c r="AA17" s="28" t="e">
        <f>VLOOKUP(Z17,Grading!$A$1:$B$102,2,TRUE)</f>
        <v>#DIV/0!</v>
      </c>
      <c r="AB17" s="52"/>
      <c r="AC17" s="27">
        <f t="shared" si="1"/>
        <v>0</v>
      </c>
      <c r="AD17" s="27">
        <f t="shared" si="2"/>
        <v>0</v>
      </c>
      <c r="AE17" s="28">
        <f>VLOOKUP(AD17,Grading!$A$1:$B$102,2,TRUE)</f>
        <v>5</v>
      </c>
      <c r="AF17" s="54"/>
      <c r="AG17" s="56">
        <f t="shared" si="3"/>
        <v>0</v>
      </c>
      <c r="AH17" s="51">
        <f t="shared" si="4"/>
        <v>0</v>
      </c>
      <c r="AI17" s="28">
        <f>VLOOKUP(AH17,Grading!$A$1:$B$102,2,TRUE)</f>
        <v>5</v>
      </c>
      <c r="AJ17" s="20"/>
      <c r="AK17" s="20">
        <f t="shared" si="5"/>
        <v>0</v>
      </c>
      <c r="AL17" s="57">
        <f>VLOOKUP(AK17,Grading!$A$1:$B$102,2,TRUE)</f>
        <v>5</v>
      </c>
      <c r="AM17" s="31" t="e">
        <f t="shared" si="7"/>
        <v>#DIV/0!</v>
      </c>
      <c r="AN17" s="31" t="e">
        <f>Midterms!AK17</f>
        <v>#DIV/0!</v>
      </c>
      <c r="AO17" s="31" t="e">
        <f t="shared" si="8"/>
        <v>#DIV/0!</v>
      </c>
      <c r="AP17" s="61"/>
    </row>
    <row r="18" ht="14.5" spans="1:42">
      <c r="A18" s="18">
        <v>13</v>
      </c>
      <c r="B18" s="37"/>
      <c r="C18" s="36"/>
      <c r="D18" s="36"/>
      <c r="E18" s="36"/>
      <c r="F18" s="36"/>
      <c r="G18" s="36"/>
      <c r="H18" s="36"/>
      <c r="I18" s="36"/>
      <c r="J18" s="36"/>
      <c r="K18" s="47"/>
      <c r="L18" s="10"/>
      <c r="M18" s="20"/>
      <c r="N18" s="20"/>
      <c r="O18" s="20"/>
      <c r="P18" s="20"/>
      <c r="Q18" s="20"/>
      <c r="R18" s="20"/>
      <c r="S18" s="48"/>
      <c r="T18" s="48"/>
      <c r="U18" s="48"/>
      <c r="V18" s="48"/>
      <c r="W18" s="48"/>
      <c r="X18" s="48"/>
      <c r="Y18" s="27">
        <f t="shared" si="0"/>
        <v>0</v>
      </c>
      <c r="Z18" s="27" t="e">
        <f t="shared" si="6"/>
        <v>#DIV/0!</v>
      </c>
      <c r="AA18" s="28" t="e">
        <f>VLOOKUP(Z18,Grading!$A$1:$B$102,2,TRUE)</f>
        <v>#DIV/0!</v>
      </c>
      <c r="AB18" s="52"/>
      <c r="AC18" s="27">
        <f t="shared" si="1"/>
        <v>0</v>
      </c>
      <c r="AD18" s="27">
        <f t="shared" si="2"/>
        <v>0</v>
      </c>
      <c r="AE18" s="28">
        <f>VLOOKUP(AD18,Grading!$A$1:$B$102,2,TRUE)</f>
        <v>5</v>
      </c>
      <c r="AF18" s="54"/>
      <c r="AG18" s="56">
        <f t="shared" si="3"/>
        <v>0</v>
      </c>
      <c r="AH18" s="51">
        <f t="shared" si="4"/>
        <v>0</v>
      </c>
      <c r="AI18" s="28">
        <f>VLOOKUP(AH18,Grading!$A$1:$B$102,2,TRUE)</f>
        <v>5</v>
      </c>
      <c r="AJ18" s="20"/>
      <c r="AK18" s="20">
        <f t="shared" si="5"/>
        <v>0</v>
      </c>
      <c r="AL18" s="57">
        <f>VLOOKUP(AK18,Grading!$A$1:$B$102,2,TRUE)</f>
        <v>5</v>
      </c>
      <c r="AM18" s="31" t="e">
        <f t="shared" si="7"/>
        <v>#DIV/0!</v>
      </c>
      <c r="AN18" s="31" t="e">
        <f>Midterms!AK18</f>
        <v>#DIV/0!</v>
      </c>
      <c r="AO18" s="31" t="e">
        <f t="shared" si="8"/>
        <v>#DIV/0!</v>
      </c>
      <c r="AP18" s="61"/>
    </row>
    <row r="19" ht="14.5" spans="1:42">
      <c r="A19" s="18">
        <v>14</v>
      </c>
      <c r="B19" s="35"/>
      <c r="C19" s="36"/>
      <c r="D19" s="36"/>
      <c r="E19" s="36"/>
      <c r="F19" s="36"/>
      <c r="G19" s="36"/>
      <c r="H19" s="36"/>
      <c r="I19" s="36"/>
      <c r="J19" s="36"/>
      <c r="K19" s="10"/>
      <c r="L19" s="10"/>
      <c r="M19" s="20"/>
      <c r="N19" s="20"/>
      <c r="O19" s="20"/>
      <c r="P19" s="20"/>
      <c r="Q19" s="20"/>
      <c r="R19" s="20"/>
      <c r="S19" s="48"/>
      <c r="T19" s="48"/>
      <c r="U19" s="48"/>
      <c r="V19" s="48"/>
      <c r="W19" s="48"/>
      <c r="X19" s="48"/>
      <c r="Y19" s="27">
        <f t="shared" si="0"/>
        <v>0</v>
      </c>
      <c r="Z19" s="27" t="e">
        <f t="shared" si="6"/>
        <v>#DIV/0!</v>
      </c>
      <c r="AA19" s="28" t="e">
        <f>VLOOKUP(Z19,Grading!$A$1:$B$102,2,TRUE)</f>
        <v>#DIV/0!</v>
      </c>
      <c r="AB19" s="52"/>
      <c r="AC19" s="27">
        <f t="shared" si="1"/>
        <v>0</v>
      </c>
      <c r="AD19" s="27">
        <f t="shared" si="2"/>
        <v>0</v>
      </c>
      <c r="AE19" s="28">
        <f>VLOOKUP(AD19,Grading!$A$1:$B$102,2,TRUE)</f>
        <v>5</v>
      </c>
      <c r="AF19" s="54"/>
      <c r="AG19" s="56">
        <f t="shared" si="3"/>
        <v>0</v>
      </c>
      <c r="AH19" s="51">
        <f t="shared" si="4"/>
        <v>0</v>
      </c>
      <c r="AI19" s="28">
        <f>VLOOKUP(AH19,Grading!$A$1:$B$102,2,TRUE)</f>
        <v>5</v>
      </c>
      <c r="AJ19" s="20"/>
      <c r="AK19" s="20">
        <f t="shared" si="5"/>
        <v>0</v>
      </c>
      <c r="AL19" s="57">
        <f>VLOOKUP(AK19,Grading!$A$1:$B$102,2,TRUE)</f>
        <v>5</v>
      </c>
      <c r="AM19" s="31" t="e">
        <f t="shared" si="7"/>
        <v>#DIV/0!</v>
      </c>
      <c r="AN19" s="31" t="e">
        <f>Midterms!AK19</f>
        <v>#DIV/0!</v>
      </c>
      <c r="AO19" s="31" t="e">
        <f t="shared" si="8"/>
        <v>#DIV/0!</v>
      </c>
      <c r="AP19" s="61"/>
    </row>
    <row r="20" ht="14.5" spans="1:42">
      <c r="A20" s="18">
        <v>15</v>
      </c>
      <c r="B20" s="37"/>
      <c r="C20" s="36"/>
      <c r="D20" s="36"/>
      <c r="E20" s="36"/>
      <c r="F20" s="36"/>
      <c r="G20" s="36"/>
      <c r="H20" s="36"/>
      <c r="I20" s="36"/>
      <c r="J20" s="36"/>
      <c r="K20" s="10"/>
      <c r="L20" s="10"/>
      <c r="M20" s="20"/>
      <c r="N20" s="20"/>
      <c r="O20" s="20"/>
      <c r="P20" s="20"/>
      <c r="Q20" s="20"/>
      <c r="R20" s="20"/>
      <c r="S20" s="48"/>
      <c r="T20" s="48"/>
      <c r="U20" s="48"/>
      <c r="V20" s="48"/>
      <c r="W20" s="48"/>
      <c r="X20" s="48"/>
      <c r="Y20" s="27">
        <f t="shared" si="0"/>
        <v>0</v>
      </c>
      <c r="Z20" s="27" t="e">
        <f t="shared" si="6"/>
        <v>#DIV/0!</v>
      </c>
      <c r="AA20" s="28" t="e">
        <f>VLOOKUP(Z20,Grading!$A$1:$B$102,2,TRUE)</f>
        <v>#DIV/0!</v>
      </c>
      <c r="AB20" s="52"/>
      <c r="AC20" s="27">
        <f t="shared" si="1"/>
        <v>0</v>
      </c>
      <c r="AD20" s="27">
        <f t="shared" si="2"/>
        <v>0</v>
      </c>
      <c r="AE20" s="28">
        <f>VLOOKUP(AD20,Grading!$A$1:$B$102,2,TRUE)</f>
        <v>5</v>
      </c>
      <c r="AF20" s="54"/>
      <c r="AG20" s="56">
        <f t="shared" si="3"/>
        <v>0</v>
      </c>
      <c r="AH20" s="51">
        <f t="shared" si="4"/>
        <v>0</v>
      </c>
      <c r="AI20" s="28">
        <f>VLOOKUP(AH20,Grading!$A$1:$B$102,2,TRUE)</f>
        <v>5</v>
      </c>
      <c r="AJ20" s="20"/>
      <c r="AK20" s="20">
        <f t="shared" si="5"/>
        <v>0</v>
      </c>
      <c r="AL20" s="57">
        <f>VLOOKUP(AK20,Grading!$A$1:$B$102,2,TRUE)</f>
        <v>5</v>
      </c>
      <c r="AM20" s="31" t="e">
        <f t="shared" si="7"/>
        <v>#DIV/0!</v>
      </c>
      <c r="AN20" s="31" t="e">
        <f>Midterms!AK20</f>
        <v>#DIV/0!</v>
      </c>
      <c r="AO20" s="31" t="e">
        <f t="shared" si="8"/>
        <v>#DIV/0!</v>
      </c>
      <c r="AP20" s="61"/>
    </row>
    <row r="21" ht="15.75" customHeight="1" spans="1:42">
      <c r="A21" s="18">
        <v>16</v>
      </c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48"/>
      <c r="T21" s="48"/>
      <c r="U21" s="48"/>
      <c r="V21" s="48"/>
      <c r="W21" s="49"/>
      <c r="X21" s="48"/>
      <c r="Y21" s="27">
        <f t="shared" si="0"/>
        <v>0</v>
      </c>
      <c r="Z21" s="27" t="e">
        <f t="shared" si="6"/>
        <v>#DIV/0!</v>
      </c>
      <c r="AA21" s="28" t="e">
        <f>VLOOKUP(Z21,Grading!$A$1:$B$102,2,TRUE)</f>
        <v>#DIV/0!</v>
      </c>
      <c r="AB21" s="52"/>
      <c r="AC21" s="27">
        <f t="shared" si="1"/>
        <v>0</v>
      </c>
      <c r="AD21" s="27">
        <f t="shared" si="2"/>
        <v>0</v>
      </c>
      <c r="AE21" s="28">
        <f>VLOOKUP(AD21,Grading!$A$1:$B$102,2,TRUE)</f>
        <v>5</v>
      </c>
      <c r="AF21" s="54"/>
      <c r="AG21" s="56">
        <f t="shared" si="3"/>
        <v>0</v>
      </c>
      <c r="AH21" s="51">
        <f t="shared" si="4"/>
        <v>0</v>
      </c>
      <c r="AI21" s="28">
        <f>VLOOKUP(AH21,Grading!$A$1:$B$102,2,TRUE)</f>
        <v>5</v>
      </c>
      <c r="AJ21" s="20"/>
      <c r="AK21" s="20">
        <f t="shared" si="5"/>
        <v>0</v>
      </c>
      <c r="AL21" s="57">
        <f>VLOOKUP(AK21,Grading!$A$1:$B$102,2,TRUE)</f>
        <v>5</v>
      </c>
      <c r="AM21" s="31" t="e">
        <f t="shared" si="7"/>
        <v>#DIV/0!</v>
      </c>
      <c r="AN21" s="31" t="e">
        <f>Midterms!AK21</f>
        <v>#DIV/0!</v>
      </c>
      <c r="AO21" s="31" t="e">
        <f t="shared" si="8"/>
        <v>#DIV/0!</v>
      </c>
      <c r="AP21" s="61"/>
    </row>
    <row r="22" ht="15.75" customHeight="1" spans="1:42">
      <c r="A22" s="18">
        <v>17</v>
      </c>
      <c r="B22" s="37"/>
      <c r="C22" s="36"/>
      <c r="D22" s="36"/>
      <c r="E22" s="36"/>
      <c r="F22" s="36"/>
      <c r="G22" s="36"/>
      <c r="H22" s="36"/>
      <c r="I22" s="36"/>
      <c r="J22" s="36"/>
      <c r="K22" s="10"/>
      <c r="L22" s="10"/>
      <c r="M22" s="36"/>
      <c r="N22" s="20"/>
      <c r="O22" s="20"/>
      <c r="P22" s="20"/>
      <c r="Q22" s="20"/>
      <c r="R22" s="20"/>
      <c r="S22" s="48"/>
      <c r="T22" s="48"/>
      <c r="U22" s="48"/>
      <c r="V22" s="48"/>
      <c r="W22" s="48"/>
      <c r="X22" s="48"/>
      <c r="Y22" s="27">
        <f t="shared" si="0"/>
        <v>0</v>
      </c>
      <c r="Z22" s="27" t="e">
        <f t="shared" si="6"/>
        <v>#DIV/0!</v>
      </c>
      <c r="AA22" s="28" t="e">
        <f>VLOOKUP(Z22,Grading!$A$1:$B$102,2,TRUE)</f>
        <v>#DIV/0!</v>
      </c>
      <c r="AB22" s="52"/>
      <c r="AC22" s="27">
        <f t="shared" si="1"/>
        <v>0</v>
      </c>
      <c r="AD22" s="27">
        <f t="shared" si="2"/>
        <v>0</v>
      </c>
      <c r="AE22" s="28">
        <f>VLOOKUP(AD22,Grading!$A$1:$B$102,2,TRUE)</f>
        <v>5</v>
      </c>
      <c r="AF22" s="54"/>
      <c r="AG22" s="56">
        <f t="shared" si="3"/>
        <v>0</v>
      </c>
      <c r="AH22" s="51">
        <f t="shared" si="4"/>
        <v>0</v>
      </c>
      <c r="AI22" s="28">
        <f>VLOOKUP(AH22,Grading!$A$1:$B$102,2,TRUE)</f>
        <v>5</v>
      </c>
      <c r="AJ22" s="20"/>
      <c r="AK22" s="20">
        <f t="shared" si="5"/>
        <v>0</v>
      </c>
      <c r="AL22" s="57">
        <f>VLOOKUP(AK22,Grading!$A$1:$B$102,2,TRUE)</f>
        <v>5</v>
      </c>
      <c r="AM22" s="31" t="e">
        <f t="shared" si="7"/>
        <v>#DIV/0!</v>
      </c>
      <c r="AN22" s="31" t="e">
        <f>Midterms!AK22</f>
        <v>#DIV/0!</v>
      </c>
      <c r="AO22" s="31" t="e">
        <f t="shared" si="8"/>
        <v>#DIV/0!</v>
      </c>
      <c r="AP22" s="61"/>
    </row>
    <row r="23" ht="15.75" customHeight="1" spans="1:42">
      <c r="A23" s="18">
        <v>18</v>
      </c>
      <c r="B23" s="37"/>
      <c r="C23" s="36"/>
      <c r="D23" s="38"/>
      <c r="E23" s="36"/>
      <c r="F23" s="36"/>
      <c r="G23" s="36"/>
      <c r="H23" s="36"/>
      <c r="I23" s="36"/>
      <c r="J23" s="36"/>
      <c r="K23" s="10"/>
      <c r="L23" s="10"/>
      <c r="M23" s="36"/>
      <c r="N23" s="20"/>
      <c r="O23" s="20"/>
      <c r="P23" s="20"/>
      <c r="Q23" s="20"/>
      <c r="R23" s="20"/>
      <c r="S23" s="49"/>
      <c r="T23" s="49"/>
      <c r="U23" s="49"/>
      <c r="V23" s="49"/>
      <c r="W23" s="49"/>
      <c r="X23" s="49"/>
      <c r="Y23" s="27">
        <f t="shared" si="0"/>
        <v>0</v>
      </c>
      <c r="Z23" s="27" t="e">
        <f t="shared" si="6"/>
        <v>#DIV/0!</v>
      </c>
      <c r="AA23" s="28" t="e">
        <f>VLOOKUP(Z23,Grading!$A$1:$B$102,2,TRUE)</f>
        <v>#DIV/0!</v>
      </c>
      <c r="AB23" s="52"/>
      <c r="AC23" s="27">
        <f t="shared" si="1"/>
        <v>0</v>
      </c>
      <c r="AD23" s="27">
        <f t="shared" si="2"/>
        <v>0</v>
      </c>
      <c r="AE23" s="28">
        <f>VLOOKUP(AD23,Grading!$A$1:$B$102,2,TRUE)</f>
        <v>5</v>
      </c>
      <c r="AF23" s="54"/>
      <c r="AG23" s="56">
        <f t="shared" si="3"/>
        <v>0</v>
      </c>
      <c r="AH23" s="51">
        <f t="shared" si="4"/>
        <v>0</v>
      </c>
      <c r="AI23" s="28">
        <f>VLOOKUP(AH23,Grading!$A$1:$B$102,2,TRUE)</f>
        <v>5</v>
      </c>
      <c r="AJ23" s="20"/>
      <c r="AK23" s="20">
        <f t="shared" si="5"/>
        <v>0</v>
      </c>
      <c r="AL23" s="57">
        <f>VLOOKUP(AK23,Grading!$A$1:$B$102,2,TRUE)</f>
        <v>5</v>
      </c>
      <c r="AM23" s="31" t="e">
        <f t="shared" si="7"/>
        <v>#DIV/0!</v>
      </c>
      <c r="AN23" s="31" t="e">
        <f>Midterms!AK23</f>
        <v>#DIV/0!</v>
      </c>
      <c r="AO23" s="31" t="e">
        <f t="shared" si="8"/>
        <v>#DIV/0!</v>
      </c>
      <c r="AP23" s="61" t="s">
        <v>33</v>
      </c>
    </row>
    <row r="24" ht="15.75" customHeight="1" spans="1:42">
      <c r="A24" s="18">
        <v>19</v>
      </c>
      <c r="B24" s="35"/>
      <c r="C24" s="36"/>
      <c r="D24" s="36"/>
      <c r="E24" s="36"/>
      <c r="F24" s="36"/>
      <c r="G24" s="36"/>
      <c r="H24" s="36"/>
      <c r="I24" s="36"/>
      <c r="J24" s="36"/>
      <c r="K24" s="10"/>
      <c r="L24" s="10"/>
      <c r="M24" s="20"/>
      <c r="N24" s="20"/>
      <c r="O24" s="20"/>
      <c r="P24" s="20"/>
      <c r="Q24" s="20"/>
      <c r="R24" s="20"/>
      <c r="S24" s="48"/>
      <c r="T24" s="48"/>
      <c r="U24" s="48"/>
      <c r="V24" s="48"/>
      <c r="W24" s="48"/>
      <c r="X24" s="48"/>
      <c r="Y24" s="27">
        <f t="shared" si="0"/>
        <v>0</v>
      </c>
      <c r="Z24" s="27" t="e">
        <f t="shared" si="6"/>
        <v>#DIV/0!</v>
      </c>
      <c r="AA24" s="28" t="e">
        <f>VLOOKUP(Z24,Grading!$A$1:$B$102,2,TRUE)</f>
        <v>#DIV/0!</v>
      </c>
      <c r="AB24" s="52"/>
      <c r="AC24" s="27">
        <f t="shared" si="1"/>
        <v>0</v>
      </c>
      <c r="AD24" s="27">
        <f t="shared" si="2"/>
        <v>0</v>
      </c>
      <c r="AE24" s="28">
        <f>VLOOKUP(AD24,Grading!$A$1:$B$102,2,TRUE)</f>
        <v>5</v>
      </c>
      <c r="AF24" s="54"/>
      <c r="AG24" s="56">
        <f t="shared" si="3"/>
        <v>0</v>
      </c>
      <c r="AH24" s="51">
        <f t="shared" si="4"/>
        <v>0</v>
      </c>
      <c r="AI24" s="28">
        <f>VLOOKUP(AH24,Grading!$A$1:$B$102,2,TRUE)</f>
        <v>5</v>
      </c>
      <c r="AJ24" s="20"/>
      <c r="AK24" s="20">
        <f t="shared" si="5"/>
        <v>0</v>
      </c>
      <c r="AL24" s="57">
        <f>VLOOKUP(AK24,Grading!$A$1:$B$102,2,TRUE)</f>
        <v>5</v>
      </c>
      <c r="AM24" s="31" t="e">
        <f t="shared" si="7"/>
        <v>#DIV/0!</v>
      </c>
      <c r="AN24" s="31" t="e">
        <f>Midterms!AK24</f>
        <v>#DIV/0!</v>
      </c>
      <c r="AO24" s="31" t="e">
        <f t="shared" si="8"/>
        <v>#DIV/0!</v>
      </c>
      <c r="AP24" s="61"/>
    </row>
    <row r="25" ht="15.75" customHeight="1" spans="1:42">
      <c r="A25" s="18">
        <v>20</v>
      </c>
      <c r="B25" s="37"/>
      <c r="C25" s="36"/>
      <c r="D25" s="36"/>
      <c r="E25" s="36"/>
      <c r="F25" s="36"/>
      <c r="G25" s="36"/>
      <c r="H25" s="36"/>
      <c r="I25" s="36"/>
      <c r="J25" s="36"/>
      <c r="K25" s="10"/>
      <c r="L25" s="10"/>
      <c r="M25" s="20"/>
      <c r="N25" s="20"/>
      <c r="O25" s="20"/>
      <c r="P25" s="20"/>
      <c r="Q25" s="20"/>
      <c r="R25" s="20"/>
      <c r="S25" s="48"/>
      <c r="T25" s="48"/>
      <c r="U25" s="48"/>
      <c r="V25" s="48"/>
      <c r="W25" s="48"/>
      <c r="X25" s="48"/>
      <c r="Y25" s="27">
        <f t="shared" si="0"/>
        <v>0</v>
      </c>
      <c r="Z25" s="27" t="e">
        <f t="shared" si="6"/>
        <v>#DIV/0!</v>
      </c>
      <c r="AA25" s="28" t="e">
        <f>VLOOKUP(Z25,Grading!$A$1:$B$102,2,TRUE)</f>
        <v>#DIV/0!</v>
      </c>
      <c r="AB25" s="52"/>
      <c r="AC25" s="27">
        <f t="shared" si="1"/>
        <v>0</v>
      </c>
      <c r="AD25" s="27">
        <f t="shared" si="2"/>
        <v>0</v>
      </c>
      <c r="AE25" s="28">
        <f>VLOOKUP(AD25,Grading!$A$1:$B$102,2,TRUE)</f>
        <v>5</v>
      </c>
      <c r="AF25" s="54"/>
      <c r="AG25" s="56">
        <f t="shared" si="3"/>
        <v>0</v>
      </c>
      <c r="AH25" s="51">
        <f t="shared" si="4"/>
        <v>0</v>
      </c>
      <c r="AI25" s="28">
        <f>VLOOKUP(AH25,Grading!$A$1:$B$102,2,TRUE)</f>
        <v>5</v>
      </c>
      <c r="AJ25" s="20"/>
      <c r="AK25" s="20">
        <f t="shared" si="5"/>
        <v>0</v>
      </c>
      <c r="AL25" s="57">
        <f>VLOOKUP(AK25,Grading!$A$1:$B$102,2,TRUE)</f>
        <v>5</v>
      </c>
      <c r="AM25" s="31" t="e">
        <f t="shared" si="7"/>
        <v>#DIV/0!</v>
      </c>
      <c r="AN25" s="31" t="e">
        <f>Midterms!AK25</f>
        <v>#DIV/0!</v>
      </c>
      <c r="AO25" s="31" t="e">
        <f t="shared" si="8"/>
        <v>#DIV/0!</v>
      </c>
      <c r="AP25" s="61"/>
    </row>
    <row r="26" ht="15.75" customHeight="1" spans="1:42">
      <c r="A26" s="18">
        <v>21</v>
      </c>
      <c r="B26" s="35"/>
      <c r="C26" s="36"/>
      <c r="D26" s="36"/>
      <c r="E26" s="36"/>
      <c r="F26" s="36"/>
      <c r="G26" s="36"/>
      <c r="H26" s="36"/>
      <c r="I26" s="36"/>
      <c r="J26" s="36"/>
      <c r="K26" s="10"/>
      <c r="L26" s="10"/>
      <c r="M26" s="20"/>
      <c r="N26" s="20"/>
      <c r="O26" s="20"/>
      <c r="P26" s="20"/>
      <c r="Q26" s="20"/>
      <c r="R26" s="20"/>
      <c r="S26" s="48"/>
      <c r="T26" s="48"/>
      <c r="U26" s="48"/>
      <c r="V26" s="48"/>
      <c r="W26" s="48"/>
      <c r="X26" s="48"/>
      <c r="Y26" s="27">
        <f t="shared" si="0"/>
        <v>0</v>
      </c>
      <c r="Z26" s="27" t="e">
        <f t="shared" si="6"/>
        <v>#DIV/0!</v>
      </c>
      <c r="AA26" s="28" t="e">
        <f>VLOOKUP(Z26,Grading!$A$1:$B$102,2,TRUE)</f>
        <v>#DIV/0!</v>
      </c>
      <c r="AB26" s="52"/>
      <c r="AC26" s="27">
        <f t="shared" si="1"/>
        <v>0</v>
      </c>
      <c r="AD26" s="27">
        <f t="shared" si="2"/>
        <v>0</v>
      </c>
      <c r="AE26" s="28">
        <f>VLOOKUP(AD26,Grading!$A$1:$B$102,2,TRUE)</f>
        <v>5</v>
      </c>
      <c r="AF26" s="54"/>
      <c r="AG26" s="56">
        <f t="shared" si="3"/>
        <v>0</v>
      </c>
      <c r="AH26" s="51">
        <f t="shared" si="4"/>
        <v>0</v>
      </c>
      <c r="AI26" s="28">
        <f>VLOOKUP(AH26,Grading!$A$1:$B$102,2,TRUE)</f>
        <v>5</v>
      </c>
      <c r="AJ26" s="20"/>
      <c r="AK26" s="20">
        <f t="shared" si="5"/>
        <v>0</v>
      </c>
      <c r="AL26" s="57">
        <f>VLOOKUP(AK26,Grading!$A$1:$B$102,2,TRUE)</f>
        <v>5</v>
      </c>
      <c r="AM26" s="31" t="e">
        <f t="shared" si="7"/>
        <v>#DIV/0!</v>
      </c>
      <c r="AN26" s="31" t="e">
        <f>Midterms!AK26</f>
        <v>#DIV/0!</v>
      </c>
      <c r="AO26" s="31" t="e">
        <f t="shared" si="8"/>
        <v>#DIV/0!</v>
      </c>
      <c r="AP26" s="61"/>
    </row>
    <row r="27" ht="15.75" customHeight="1" spans="1:42">
      <c r="A27" s="18">
        <v>22</v>
      </c>
      <c r="B27" s="37"/>
      <c r="C27" s="36"/>
      <c r="D27" s="36"/>
      <c r="E27" s="36"/>
      <c r="F27" s="36"/>
      <c r="G27" s="36"/>
      <c r="H27" s="36"/>
      <c r="I27" s="36"/>
      <c r="J27" s="36"/>
      <c r="K27" s="10"/>
      <c r="L27" s="10"/>
      <c r="M27" s="20"/>
      <c r="N27" s="20"/>
      <c r="O27" s="20"/>
      <c r="P27" s="20"/>
      <c r="Q27" s="20"/>
      <c r="R27" s="20"/>
      <c r="S27" s="48"/>
      <c r="T27" s="48"/>
      <c r="U27" s="48"/>
      <c r="V27" s="48"/>
      <c r="W27" s="48"/>
      <c r="X27" s="48"/>
      <c r="Y27" s="27">
        <f t="shared" si="0"/>
        <v>0</v>
      </c>
      <c r="Z27" s="27" t="e">
        <f t="shared" si="6"/>
        <v>#DIV/0!</v>
      </c>
      <c r="AA27" s="28" t="e">
        <f>VLOOKUP(Z27,Grading!$A$1:$B$102,2,TRUE)</f>
        <v>#DIV/0!</v>
      </c>
      <c r="AB27" s="52"/>
      <c r="AC27" s="27">
        <f t="shared" si="1"/>
        <v>0</v>
      </c>
      <c r="AD27" s="27">
        <f t="shared" si="2"/>
        <v>0</v>
      </c>
      <c r="AE27" s="28">
        <f>VLOOKUP(AD27,Grading!$A$1:$B$102,2,TRUE)</f>
        <v>5</v>
      </c>
      <c r="AF27" s="54"/>
      <c r="AG27" s="56">
        <f t="shared" si="3"/>
        <v>0</v>
      </c>
      <c r="AH27" s="51">
        <f t="shared" si="4"/>
        <v>0</v>
      </c>
      <c r="AI27" s="28">
        <f>VLOOKUP(AH27,Grading!$A$1:$B$102,2,TRUE)</f>
        <v>5</v>
      </c>
      <c r="AJ27" s="20"/>
      <c r="AK27" s="20">
        <f t="shared" si="5"/>
        <v>0</v>
      </c>
      <c r="AL27" s="57">
        <f>VLOOKUP(AK27,Grading!$A$1:$B$102,2,TRUE)</f>
        <v>5</v>
      </c>
      <c r="AM27" s="31" t="e">
        <f t="shared" si="7"/>
        <v>#DIV/0!</v>
      </c>
      <c r="AN27" s="31" t="e">
        <f>Midterms!AK27</f>
        <v>#DIV/0!</v>
      </c>
      <c r="AO27" s="31" t="e">
        <f t="shared" si="8"/>
        <v>#DIV/0!</v>
      </c>
      <c r="AP27" s="61"/>
    </row>
    <row r="28" ht="15.75" customHeight="1" spans="1:42">
      <c r="A28" s="18">
        <v>23</v>
      </c>
      <c r="B28" s="35"/>
      <c r="C28" s="36"/>
      <c r="D28" s="36"/>
      <c r="E28" s="36"/>
      <c r="F28" s="36"/>
      <c r="G28" s="36"/>
      <c r="H28" s="36"/>
      <c r="I28" s="36"/>
      <c r="J28" s="36"/>
      <c r="K28" s="10"/>
      <c r="L28" s="10"/>
      <c r="M28" s="20"/>
      <c r="N28" s="20"/>
      <c r="O28" s="20"/>
      <c r="P28" s="20"/>
      <c r="Q28" s="20"/>
      <c r="R28" s="20"/>
      <c r="S28" s="48"/>
      <c r="T28" s="48"/>
      <c r="U28" s="48"/>
      <c r="V28" s="48"/>
      <c r="W28" s="48"/>
      <c r="X28" s="48"/>
      <c r="Y28" s="27">
        <f t="shared" si="0"/>
        <v>0</v>
      </c>
      <c r="Z28" s="27" t="e">
        <f t="shared" si="6"/>
        <v>#DIV/0!</v>
      </c>
      <c r="AA28" s="28" t="e">
        <f>VLOOKUP(Z28,Grading!$A$1:$B$102,2,TRUE)</f>
        <v>#DIV/0!</v>
      </c>
      <c r="AB28" s="52"/>
      <c r="AC28" s="27">
        <f t="shared" si="1"/>
        <v>0</v>
      </c>
      <c r="AD28" s="27">
        <f t="shared" si="2"/>
        <v>0</v>
      </c>
      <c r="AE28" s="28">
        <f>VLOOKUP(AD28,Grading!$A$1:$B$102,2,TRUE)</f>
        <v>5</v>
      </c>
      <c r="AF28" s="54"/>
      <c r="AG28" s="56">
        <f t="shared" si="3"/>
        <v>0</v>
      </c>
      <c r="AH28" s="51">
        <f t="shared" si="4"/>
        <v>0</v>
      </c>
      <c r="AI28" s="28">
        <f>VLOOKUP(AH28,Grading!$A$1:$B$102,2,TRUE)</f>
        <v>5</v>
      </c>
      <c r="AJ28" s="20"/>
      <c r="AK28" s="20">
        <f t="shared" si="5"/>
        <v>0</v>
      </c>
      <c r="AL28" s="57">
        <f>VLOOKUP(AK28,Grading!$A$1:$B$102,2,TRUE)</f>
        <v>5</v>
      </c>
      <c r="AM28" s="31" t="e">
        <f t="shared" si="7"/>
        <v>#DIV/0!</v>
      </c>
      <c r="AN28" s="31" t="e">
        <f>Midterms!AK28</f>
        <v>#DIV/0!</v>
      </c>
      <c r="AO28" s="31" t="e">
        <f t="shared" si="8"/>
        <v>#DIV/0!</v>
      </c>
      <c r="AP28" s="61" t="s">
        <v>33</v>
      </c>
    </row>
    <row r="29" ht="15.75" customHeight="1" spans="1:42">
      <c r="A29" s="18">
        <v>24</v>
      </c>
      <c r="B29" s="35"/>
      <c r="C29" s="36"/>
      <c r="D29" s="36"/>
      <c r="E29" s="36"/>
      <c r="F29" s="36"/>
      <c r="G29" s="36"/>
      <c r="H29" s="36"/>
      <c r="I29" s="36"/>
      <c r="J29" s="36"/>
      <c r="K29" s="10"/>
      <c r="L29" s="10"/>
      <c r="M29" s="20"/>
      <c r="N29" s="20"/>
      <c r="O29" s="20"/>
      <c r="P29" s="20"/>
      <c r="Q29" s="20"/>
      <c r="R29" s="20"/>
      <c r="S29" s="48"/>
      <c r="T29" s="48"/>
      <c r="U29" s="48"/>
      <c r="V29" s="48"/>
      <c r="W29" s="48"/>
      <c r="X29" s="48"/>
      <c r="Y29" s="27">
        <f t="shared" si="0"/>
        <v>0</v>
      </c>
      <c r="Z29" s="27" t="e">
        <f t="shared" si="6"/>
        <v>#DIV/0!</v>
      </c>
      <c r="AA29" s="28" t="e">
        <f>VLOOKUP(Z29,Grading!$A$1:$B$102,2,TRUE)</f>
        <v>#DIV/0!</v>
      </c>
      <c r="AB29" s="52"/>
      <c r="AC29" s="27">
        <f t="shared" si="1"/>
        <v>0</v>
      </c>
      <c r="AD29" s="27">
        <f t="shared" si="2"/>
        <v>0</v>
      </c>
      <c r="AE29" s="28">
        <f>VLOOKUP(AD29,Grading!$A$1:$B$102,2,TRUE)</f>
        <v>5</v>
      </c>
      <c r="AF29" s="54"/>
      <c r="AG29" s="56">
        <f t="shared" si="3"/>
        <v>0</v>
      </c>
      <c r="AH29" s="51">
        <f t="shared" si="4"/>
        <v>0</v>
      </c>
      <c r="AI29" s="28">
        <f>VLOOKUP(AH29,Grading!$A$1:$B$102,2,TRUE)</f>
        <v>5</v>
      </c>
      <c r="AJ29" s="20"/>
      <c r="AK29" s="20">
        <f t="shared" si="5"/>
        <v>0</v>
      </c>
      <c r="AL29" s="57">
        <f>VLOOKUP(AK29,Grading!$A$1:$B$102,2,TRUE)</f>
        <v>5</v>
      </c>
      <c r="AM29" s="31" t="e">
        <f t="shared" si="7"/>
        <v>#DIV/0!</v>
      </c>
      <c r="AN29" s="31" t="e">
        <f>Midterms!AK29</f>
        <v>#DIV/0!</v>
      </c>
      <c r="AO29" s="31" t="e">
        <f t="shared" si="8"/>
        <v>#DIV/0!</v>
      </c>
      <c r="AP29" s="61"/>
    </row>
    <row r="30" ht="15.75" customHeight="1" spans="1:42">
      <c r="A30" s="18">
        <v>25</v>
      </c>
      <c r="B30" s="37"/>
      <c r="C30" s="36"/>
      <c r="D30" s="36"/>
      <c r="E30" s="36"/>
      <c r="F30" s="36"/>
      <c r="G30" s="36"/>
      <c r="H30" s="36"/>
      <c r="I30" s="36"/>
      <c r="J30" s="36"/>
      <c r="K30" s="10"/>
      <c r="L30" s="10"/>
      <c r="M30" s="20"/>
      <c r="N30" s="20"/>
      <c r="O30" s="20"/>
      <c r="P30" s="20"/>
      <c r="Q30" s="20"/>
      <c r="R30" s="20"/>
      <c r="S30" s="48"/>
      <c r="T30" s="48"/>
      <c r="U30" s="48"/>
      <c r="V30" s="48"/>
      <c r="W30" s="48"/>
      <c r="X30" s="48"/>
      <c r="Y30" s="27">
        <f t="shared" si="0"/>
        <v>0</v>
      </c>
      <c r="Z30" s="27" t="e">
        <f t="shared" si="6"/>
        <v>#DIV/0!</v>
      </c>
      <c r="AA30" s="28" t="e">
        <f>VLOOKUP(Z30,Grading!$A$1:$B$102,2,TRUE)</f>
        <v>#DIV/0!</v>
      </c>
      <c r="AB30" s="52"/>
      <c r="AC30" s="27">
        <f t="shared" si="1"/>
        <v>0</v>
      </c>
      <c r="AD30" s="27">
        <f t="shared" si="2"/>
        <v>0</v>
      </c>
      <c r="AE30" s="28">
        <f>VLOOKUP(AD30,Grading!$A$1:$B$102,2,TRUE)</f>
        <v>5</v>
      </c>
      <c r="AF30" s="54"/>
      <c r="AG30" s="56">
        <f t="shared" si="3"/>
        <v>0</v>
      </c>
      <c r="AH30" s="51">
        <f t="shared" si="4"/>
        <v>0</v>
      </c>
      <c r="AI30" s="28">
        <f>VLOOKUP(AH30,Grading!$A$1:$B$102,2,TRUE)</f>
        <v>5</v>
      </c>
      <c r="AJ30" s="20"/>
      <c r="AK30" s="20">
        <f t="shared" si="5"/>
        <v>0</v>
      </c>
      <c r="AL30" s="57">
        <f>VLOOKUP(AK30,Grading!$A$1:$B$102,2,TRUE)</f>
        <v>5</v>
      </c>
      <c r="AM30" s="31" t="e">
        <f t="shared" si="7"/>
        <v>#DIV/0!</v>
      </c>
      <c r="AN30" s="31" t="e">
        <f>Midterms!AK30</f>
        <v>#DIV/0!</v>
      </c>
      <c r="AO30" s="31" t="e">
        <f t="shared" si="8"/>
        <v>#DIV/0!</v>
      </c>
      <c r="AP30" s="61"/>
    </row>
    <row r="31" ht="15.75" customHeight="1" spans="1:42">
      <c r="A31" s="18">
        <v>26</v>
      </c>
      <c r="B31" s="37"/>
      <c r="C31" s="36"/>
      <c r="D31" s="36"/>
      <c r="E31" s="36"/>
      <c r="F31" s="36"/>
      <c r="G31" s="36"/>
      <c r="H31" s="36"/>
      <c r="I31" s="36"/>
      <c r="J31" s="36"/>
      <c r="K31" s="10"/>
      <c r="L31" s="10"/>
      <c r="M31" s="20"/>
      <c r="N31" s="20"/>
      <c r="O31" s="20"/>
      <c r="P31" s="20"/>
      <c r="Q31" s="20"/>
      <c r="R31" s="20"/>
      <c r="S31" s="48"/>
      <c r="T31" s="48"/>
      <c r="U31" s="48"/>
      <c r="V31" s="48"/>
      <c r="W31" s="48"/>
      <c r="X31" s="48"/>
      <c r="Y31" s="27">
        <f t="shared" si="0"/>
        <v>0</v>
      </c>
      <c r="Z31" s="27" t="e">
        <f t="shared" si="6"/>
        <v>#DIV/0!</v>
      </c>
      <c r="AA31" s="28" t="e">
        <f>VLOOKUP(Z31,Grading!$A$1:$B$102,2,TRUE)</f>
        <v>#DIV/0!</v>
      </c>
      <c r="AB31" s="52"/>
      <c r="AC31" s="27">
        <f t="shared" si="1"/>
        <v>0</v>
      </c>
      <c r="AD31" s="27">
        <f t="shared" si="2"/>
        <v>0</v>
      </c>
      <c r="AE31" s="28">
        <f>VLOOKUP(AD31,Grading!$A$1:$B$102,2,TRUE)</f>
        <v>5</v>
      </c>
      <c r="AF31" s="54"/>
      <c r="AG31" s="56">
        <f t="shared" si="3"/>
        <v>0</v>
      </c>
      <c r="AH31" s="51">
        <f t="shared" si="4"/>
        <v>0</v>
      </c>
      <c r="AI31" s="28">
        <f>VLOOKUP(AH31,Grading!$A$1:$B$102,2,TRUE)</f>
        <v>5</v>
      </c>
      <c r="AJ31" s="20"/>
      <c r="AK31" s="20">
        <f t="shared" si="5"/>
        <v>0</v>
      </c>
      <c r="AL31" s="57">
        <f>VLOOKUP(AK31,Grading!$A$1:$B$102,2,TRUE)</f>
        <v>5</v>
      </c>
      <c r="AM31" s="31" t="e">
        <f t="shared" si="7"/>
        <v>#DIV/0!</v>
      </c>
      <c r="AN31" s="31" t="e">
        <f>Midterms!AK31</f>
        <v>#DIV/0!</v>
      </c>
      <c r="AO31" s="31" t="e">
        <f t="shared" si="8"/>
        <v>#DIV/0!</v>
      </c>
      <c r="AP31" s="61"/>
    </row>
    <row r="32" ht="15.75" customHeight="1" spans="1:42">
      <c r="A32" s="18">
        <v>27</v>
      </c>
      <c r="B32" s="35"/>
      <c r="C32" s="36"/>
      <c r="D32" s="36"/>
      <c r="E32" s="36"/>
      <c r="F32" s="36"/>
      <c r="G32" s="36"/>
      <c r="H32" s="36"/>
      <c r="I32" s="36"/>
      <c r="J32" s="36"/>
      <c r="K32" s="10"/>
      <c r="L32" s="10"/>
      <c r="M32" s="20"/>
      <c r="N32" s="20"/>
      <c r="O32" s="20"/>
      <c r="P32" s="20"/>
      <c r="Q32" s="20"/>
      <c r="R32" s="20"/>
      <c r="S32" s="48"/>
      <c r="T32" s="48"/>
      <c r="U32" s="48"/>
      <c r="V32" s="48"/>
      <c r="W32" s="48"/>
      <c r="X32" s="48"/>
      <c r="Y32" s="27">
        <f t="shared" si="0"/>
        <v>0</v>
      </c>
      <c r="Z32" s="27" t="e">
        <f t="shared" si="6"/>
        <v>#DIV/0!</v>
      </c>
      <c r="AA32" s="28" t="e">
        <f>VLOOKUP(Z32,Grading!$A$1:$B$102,2,TRUE)</f>
        <v>#DIV/0!</v>
      </c>
      <c r="AB32" s="52"/>
      <c r="AC32" s="27">
        <f t="shared" si="1"/>
        <v>0</v>
      </c>
      <c r="AD32" s="27">
        <f t="shared" si="2"/>
        <v>0</v>
      </c>
      <c r="AE32" s="28">
        <f>VLOOKUP(AD32,Grading!$A$1:$B$102,2,TRUE)</f>
        <v>5</v>
      </c>
      <c r="AF32" s="54"/>
      <c r="AG32" s="56">
        <f t="shared" si="3"/>
        <v>0</v>
      </c>
      <c r="AH32" s="51">
        <f t="shared" si="4"/>
        <v>0</v>
      </c>
      <c r="AI32" s="28">
        <f>VLOOKUP(AH32,Grading!$A$1:$B$102,2,TRUE)</f>
        <v>5</v>
      </c>
      <c r="AJ32" s="20"/>
      <c r="AK32" s="20">
        <f t="shared" si="5"/>
        <v>0</v>
      </c>
      <c r="AL32" s="57">
        <f>VLOOKUP(AK32,Grading!$A$1:$B$102,2,TRUE)</f>
        <v>5</v>
      </c>
      <c r="AM32" s="31" t="e">
        <f t="shared" si="7"/>
        <v>#DIV/0!</v>
      </c>
      <c r="AN32" s="31" t="e">
        <f>Midterms!AK32</f>
        <v>#DIV/0!</v>
      </c>
      <c r="AO32" s="31" t="e">
        <f t="shared" si="8"/>
        <v>#DIV/0!</v>
      </c>
      <c r="AP32" s="61"/>
    </row>
    <row r="33" ht="15.75" customHeight="1" spans="1:42">
      <c r="A33" s="18">
        <v>28</v>
      </c>
      <c r="B33" s="37"/>
      <c r="C33" s="36"/>
      <c r="D33" s="36"/>
      <c r="E33" s="36"/>
      <c r="F33" s="36"/>
      <c r="G33" s="36"/>
      <c r="H33" s="36"/>
      <c r="I33" s="36"/>
      <c r="J33" s="36"/>
      <c r="K33" s="10"/>
      <c r="L33" s="10"/>
      <c r="M33" s="20"/>
      <c r="N33" s="20"/>
      <c r="O33" s="20"/>
      <c r="P33" s="20"/>
      <c r="Q33" s="20"/>
      <c r="R33" s="20"/>
      <c r="S33" s="48"/>
      <c r="T33" s="48"/>
      <c r="U33" s="48"/>
      <c r="V33" s="48"/>
      <c r="W33" s="48"/>
      <c r="X33" s="48"/>
      <c r="Y33" s="27">
        <f t="shared" si="0"/>
        <v>0</v>
      </c>
      <c r="Z33" s="27" t="e">
        <f t="shared" si="6"/>
        <v>#DIV/0!</v>
      </c>
      <c r="AA33" s="28" t="e">
        <f>VLOOKUP(Z33,Grading!$A$1:$B$102,2,TRUE)</f>
        <v>#DIV/0!</v>
      </c>
      <c r="AB33" s="52"/>
      <c r="AC33" s="27">
        <f t="shared" si="1"/>
        <v>0</v>
      </c>
      <c r="AD33" s="27">
        <f t="shared" si="2"/>
        <v>0</v>
      </c>
      <c r="AE33" s="28">
        <f>VLOOKUP(AD33,Grading!$A$1:$B$102,2,TRUE)</f>
        <v>5</v>
      </c>
      <c r="AF33" s="54"/>
      <c r="AG33" s="56">
        <f t="shared" si="3"/>
        <v>0</v>
      </c>
      <c r="AH33" s="51">
        <f t="shared" si="4"/>
        <v>0</v>
      </c>
      <c r="AI33" s="28">
        <f>VLOOKUP(AH33,Grading!$A$1:$B$102,2,TRUE)</f>
        <v>5</v>
      </c>
      <c r="AJ33" s="20"/>
      <c r="AK33" s="20">
        <f t="shared" si="5"/>
        <v>0</v>
      </c>
      <c r="AL33" s="57">
        <f>VLOOKUP(AK33,Grading!$A$1:$B$102,2,TRUE)</f>
        <v>5</v>
      </c>
      <c r="AM33" s="31" t="e">
        <f t="shared" si="7"/>
        <v>#DIV/0!</v>
      </c>
      <c r="AN33" s="31" t="e">
        <f>Midterms!AK33</f>
        <v>#DIV/0!</v>
      </c>
      <c r="AO33" s="31" t="e">
        <f t="shared" si="8"/>
        <v>#DIV/0!</v>
      </c>
      <c r="AP33" s="61"/>
    </row>
    <row r="34" ht="15.75" customHeight="1" spans="1:42">
      <c r="A34" s="18">
        <v>29</v>
      </c>
      <c r="B34" s="35"/>
      <c r="C34" s="36"/>
      <c r="D34" s="36"/>
      <c r="E34" s="36"/>
      <c r="F34" s="36"/>
      <c r="G34" s="36"/>
      <c r="H34" s="36"/>
      <c r="I34" s="36"/>
      <c r="J34" s="36"/>
      <c r="K34" s="10"/>
      <c r="L34" s="10"/>
      <c r="M34" s="20"/>
      <c r="N34" s="20"/>
      <c r="O34" s="20"/>
      <c r="P34" s="20"/>
      <c r="Q34" s="20"/>
      <c r="R34" s="20"/>
      <c r="S34" s="48"/>
      <c r="T34" s="48"/>
      <c r="U34" s="48"/>
      <c r="V34" s="48"/>
      <c r="W34" s="48"/>
      <c r="X34" s="48"/>
      <c r="Y34" s="27">
        <f t="shared" si="0"/>
        <v>0</v>
      </c>
      <c r="Z34" s="27" t="e">
        <f t="shared" si="6"/>
        <v>#DIV/0!</v>
      </c>
      <c r="AA34" s="28" t="e">
        <f>VLOOKUP(Z34,Grading!$A$1:$B$102,2,TRUE)</f>
        <v>#DIV/0!</v>
      </c>
      <c r="AB34" s="52"/>
      <c r="AC34" s="27">
        <f t="shared" si="1"/>
        <v>0</v>
      </c>
      <c r="AD34" s="27">
        <f t="shared" si="2"/>
        <v>0</v>
      </c>
      <c r="AE34" s="28">
        <f>VLOOKUP(AD34,Grading!$A$1:$B$102,2,TRUE)</f>
        <v>5</v>
      </c>
      <c r="AF34" s="54"/>
      <c r="AG34" s="56">
        <f t="shared" si="3"/>
        <v>0</v>
      </c>
      <c r="AH34" s="51">
        <f t="shared" si="4"/>
        <v>0</v>
      </c>
      <c r="AI34" s="28">
        <f>VLOOKUP(AH34,Grading!$A$1:$B$102,2,TRUE)</f>
        <v>5</v>
      </c>
      <c r="AJ34" s="20"/>
      <c r="AK34" s="20">
        <f t="shared" si="5"/>
        <v>0</v>
      </c>
      <c r="AL34" s="57">
        <f>VLOOKUP(AK34,Grading!$A$1:$B$102,2,TRUE)</f>
        <v>5</v>
      </c>
      <c r="AM34" s="31" t="e">
        <f t="shared" si="7"/>
        <v>#DIV/0!</v>
      </c>
      <c r="AN34" s="31" t="e">
        <f>Midterms!AK34</f>
        <v>#DIV/0!</v>
      </c>
      <c r="AO34" s="31" t="e">
        <f t="shared" si="8"/>
        <v>#DIV/0!</v>
      </c>
      <c r="AP34" s="61"/>
    </row>
    <row r="35" ht="15.75" customHeight="1" spans="1:42">
      <c r="A35" s="18">
        <v>30</v>
      </c>
      <c r="B35" s="37"/>
      <c r="C35" s="36"/>
      <c r="D35" s="36"/>
      <c r="E35" s="36"/>
      <c r="F35" s="36"/>
      <c r="G35" s="36"/>
      <c r="H35" s="36"/>
      <c r="I35" s="36"/>
      <c r="J35" s="36"/>
      <c r="K35" s="10"/>
      <c r="L35" s="10"/>
      <c r="M35" s="20"/>
      <c r="N35" s="20"/>
      <c r="O35" s="20"/>
      <c r="P35" s="20"/>
      <c r="Q35" s="20"/>
      <c r="R35" s="20"/>
      <c r="S35" s="48"/>
      <c r="T35" s="48"/>
      <c r="U35" s="48"/>
      <c r="V35" s="48"/>
      <c r="W35" s="48"/>
      <c r="X35" s="48"/>
      <c r="Y35" s="27">
        <f t="shared" si="0"/>
        <v>0</v>
      </c>
      <c r="Z35" s="27" t="e">
        <f t="shared" si="6"/>
        <v>#DIV/0!</v>
      </c>
      <c r="AA35" s="28" t="e">
        <f>VLOOKUP(Z35,Grading!$A$1:$B$102,2,TRUE)</f>
        <v>#DIV/0!</v>
      </c>
      <c r="AB35" s="52"/>
      <c r="AC35" s="27">
        <f t="shared" si="1"/>
        <v>0</v>
      </c>
      <c r="AD35" s="27">
        <f t="shared" si="2"/>
        <v>0</v>
      </c>
      <c r="AE35" s="28">
        <f>VLOOKUP(AD35,Grading!$A$1:$B$102,2,TRUE)</f>
        <v>5</v>
      </c>
      <c r="AF35" s="54"/>
      <c r="AG35" s="56">
        <f t="shared" si="3"/>
        <v>0</v>
      </c>
      <c r="AH35" s="51">
        <f t="shared" si="4"/>
        <v>0</v>
      </c>
      <c r="AI35" s="28">
        <f>VLOOKUP(AH35,Grading!$A$1:$B$102,2,TRUE)</f>
        <v>5</v>
      </c>
      <c r="AJ35" s="20"/>
      <c r="AK35" s="20">
        <f t="shared" si="5"/>
        <v>0</v>
      </c>
      <c r="AL35" s="57">
        <f>VLOOKUP(AK35,Grading!$A$1:$B$102,2,TRUE)</f>
        <v>5</v>
      </c>
      <c r="AM35" s="31" t="e">
        <f t="shared" si="7"/>
        <v>#DIV/0!</v>
      </c>
      <c r="AN35" s="31" t="e">
        <f>Midterms!AK35</f>
        <v>#DIV/0!</v>
      </c>
      <c r="AO35" s="31" t="e">
        <f t="shared" si="8"/>
        <v>#DIV/0!</v>
      </c>
      <c r="AP35" s="61"/>
    </row>
    <row r="36" ht="15.75" customHeight="1" spans="1:42">
      <c r="A36" s="18">
        <v>31</v>
      </c>
      <c r="B36" s="35"/>
      <c r="C36" s="36"/>
      <c r="D36" s="36"/>
      <c r="E36" s="36"/>
      <c r="F36" s="36"/>
      <c r="G36" s="36"/>
      <c r="H36" s="36"/>
      <c r="I36" s="36"/>
      <c r="J36" s="36"/>
      <c r="K36" s="10"/>
      <c r="L36" s="10"/>
      <c r="M36" s="20"/>
      <c r="N36" s="20"/>
      <c r="O36" s="20"/>
      <c r="P36" s="20"/>
      <c r="Q36" s="20"/>
      <c r="R36" s="20"/>
      <c r="S36" s="48"/>
      <c r="T36" s="48"/>
      <c r="U36" s="48"/>
      <c r="V36" s="48"/>
      <c r="W36" s="48"/>
      <c r="X36" s="48"/>
      <c r="Y36" s="27">
        <f t="shared" si="0"/>
        <v>0</v>
      </c>
      <c r="Z36" s="27" t="e">
        <f t="shared" si="6"/>
        <v>#DIV/0!</v>
      </c>
      <c r="AA36" s="28" t="e">
        <f>VLOOKUP(Z36,Grading!$A$1:$B$102,2,TRUE)</f>
        <v>#DIV/0!</v>
      </c>
      <c r="AB36" s="52"/>
      <c r="AC36" s="27">
        <f t="shared" si="1"/>
        <v>0</v>
      </c>
      <c r="AD36" s="27">
        <f t="shared" si="2"/>
        <v>0</v>
      </c>
      <c r="AE36" s="28">
        <f>VLOOKUP(AD36,Grading!$A$1:$B$102,2,TRUE)</f>
        <v>5</v>
      </c>
      <c r="AF36" s="54"/>
      <c r="AG36" s="56">
        <f t="shared" si="3"/>
        <v>0</v>
      </c>
      <c r="AH36" s="51">
        <f t="shared" si="4"/>
        <v>0</v>
      </c>
      <c r="AI36" s="28">
        <f>VLOOKUP(AH36,Grading!$A$1:$B$102,2,TRUE)</f>
        <v>5</v>
      </c>
      <c r="AJ36" s="20"/>
      <c r="AK36" s="20">
        <f t="shared" si="5"/>
        <v>0</v>
      </c>
      <c r="AL36" s="57">
        <f>VLOOKUP(AK36,Grading!$A$1:$B$102,2,TRUE)</f>
        <v>5</v>
      </c>
      <c r="AM36" s="31" t="e">
        <f t="shared" si="7"/>
        <v>#DIV/0!</v>
      </c>
      <c r="AN36" s="31" t="e">
        <f>Midterms!AK36</f>
        <v>#DIV/0!</v>
      </c>
      <c r="AO36" s="31" t="e">
        <f t="shared" si="8"/>
        <v>#DIV/0!</v>
      </c>
      <c r="AP36" s="61"/>
    </row>
    <row r="37" ht="15.75" customHeight="1" spans="1:42">
      <c r="A37" s="18">
        <v>32</v>
      </c>
      <c r="B37" s="35"/>
      <c r="C37" s="36"/>
      <c r="D37" s="36"/>
      <c r="E37" s="36"/>
      <c r="F37" s="36"/>
      <c r="G37" s="36"/>
      <c r="H37" s="36"/>
      <c r="I37" s="36"/>
      <c r="J37" s="36"/>
      <c r="K37" s="10"/>
      <c r="L37" s="10"/>
      <c r="M37" s="20"/>
      <c r="N37" s="20"/>
      <c r="O37" s="20"/>
      <c r="P37" s="20"/>
      <c r="Q37" s="20"/>
      <c r="R37" s="20"/>
      <c r="S37" s="48"/>
      <c r="T37" s="48"/>
      <c r="U37" s="48"/>
      <c r="V37" s="48"/>
      <c r="W37" s="49"/>
      <c r="X37" s="48"/>
      <c r="Y37" s="27">
        <f t="shared" si="0"/>
        <v>0</v>
      </c>
      <c r="Z37" s="27" t="e">
        <f t="shared" si="6"/>
        <v>#DIV/0!</v>
      </c>
      <c r="AA37" s="28" t="e">
        <f>VLOOKUP(Z37,Grading!$A$1:$B$102,2,TRUE)</f>
        <v>#DIV/0!</v>
      </c>
      <c r="AB37" s="52"/>
      <c r="AC37" s="27">
        <f t="shared" si="1"/>
        <v>0</v>
      </c>
      <c r="AD37" s="27">
        <f t="shared" si="2"/>
        <v>0</v>
      </c>
      <c r="AE37" s="28">
        <f>VLOOKUP(AD37,Grading!$A$1:$B$102,2,TRUE)</f>
        <v>5</v>
      </c>
      <c r="AF37" s="54"/>
      <c r="AG37" s="56">
        <f t="shared" si="3"/>
        <v>0</v>
      </c>
      <c r="AH37" s="51">
        <f t="shared" si="4"/>
        <v>0</v>
      </c>
      <c r="AI37" s="28">
        <f>VLOOKUP(AH37,Grading!$A$1:$B$102,2,TRUE)</f>
        <v>5</v>
      </c>
      <c r="AJ37" s="20"/>
      <c r="AK37" s="20">
        <f t="shared" si="5"/>
        <v>0</v>
      </c>
      <c r="AL37" s="57">
        <f>VLOOKUP(AK37,Grading!$A$1:$B$102,2,TRUE)</f>
        <v>5</v>
      </c>
      <c r="AM37" s="31" t="e">
        <f t="shared" si="7"/>
        <v>#DIV/0!</v>
      </c>
      <c r="AN37" s="31" t="e">
        <f>Midterms!AK37</f>
        <v>#DIV/0!</v>
      </c>
      <c r="AO37" s="31" t="e">
        <f t="shared" si="8"/>
        <v>#DIV/0!</v>
      </c>
      <c r="AP37" s="61" t="s">
        <v>33</v>
      </c>
    </row>
    <row r="38" ht="15.75" customHeight="1" spans="1:42">
      <c r="A38" s="18">
        <v>33</v>
      </c>
      <c r="B38" s="37"/>
      <c r="C38" s="36"/>
      <c r="D38" s="36"/>
      <c r="E38" s="36"/>
      <c r="F38" s="36"/>
      <c r="G38" s="36"/>
      <c r="H38" s="36"/>
      <c r="I38" s="36"/>
      <c r="J38" s="36"/>
      <c r="K38" s="10"/>
      <c r="L38" s="10"/>
      <c r="M38" s="20"/>
      <c r="N38" s="20"/>
      <c r="O38" s="20"/>
      <c r="P38" s="20"/>
      <c r="Q38" s="20"/>
      <c r="R38" s="20"/>
      <c r="S38" s="48"/>
      <c r="T38" s="48"/>
      <c r="U38" s="48"/>
      <c r="V38" s="48"/>
      <c r="W38" s="48"/>
      <c r="X38" s="48"/>
      <c r="Y38" s="27">
        <f t="shared" si="0"/>
        <v>0</v>
      </c>
      <c r="Z38" s="27" t="e">
        <f t="shared" si="6"/>
        <v>#DIV/0!</v>
      </c>
      <c r="AA38" s="28" t="e">
        <f>VLOOKUP(Z38,Grading!$A$1:$B$102,2,TRUE)</f>
        <v>#DIV/0!</v>
      </c>
      <c r="AB38" s="52"/>
      <c r="AC38" s="27">
        <f t="shared" si="1"/>
        <v>0</v>
      </c>
      <c r="AD38" s="27">
        <f t="shared" si="2"/>
        <v>0</v>
      </c>
      <c r="AE38" s="28">
        <f>VLOOKUP(AD38,Grading!$A$1:$B$102,2,TRUE)</f>
        <v>5</v>
      </c>
      <c r="AF38" s="54"/>
      <c r="AG38" s="56">
        <f t="shared" si="3"/>
        <v>0</v>
      </c>
      <c r="AH38" s="51">
        <f t="shared" si="4"/>
        <v>0</v>
      </c>
      <c r="AI38" s="28">
        <f>VLOOKUP(AH38,Grading!$A$1:$B$102,2,TRUE)</f>
        <v>5</v>
      </c>
      <c r="AJ38" s="20"/>
      <c r="AK38" s="20">
        <f t="shared" si="5"/>
        <v>0</v>
      </c>
      <c r="AL38" s="57">
        <f>VLOOKUP(AK38,Grading!$A$1:$B$102,2,TRUE)</f>
        <v>5</v>
      </c>
      <c r="AM38" s="31" t="e">
        <f t="shared" si="7"/>
        <v>#DIV/0!</v>
      </c>
      <c r="AN38" s="31" t="e">
        <f>Midterms!AK38</f>
        <v>#DIV/0!</v>
      </c>
      <c r="AO38" s="31" t="e">
        <f t="shared" si="8"/>
        <v>#DIV/0!</v>
      </c>
      <c r="AP38" s="61"/>
    </row>
    <row r="39" ht="15.75" customHeight="1" spans="1:42">
      <c r="A39" s="18">
        <v>34</v>
      </c>
      <c r="B39" s="35"/>
      <c r="C39" s="36"/>
      <c r="D39" s="36"/>
      <c r="E39" s="36"/>
      <c r="F39" s="36"/>
      <c r="G39" s="36"/>
      <c r="H39" s="36"/>
      <c r="I39" s="36"/>
      <c r="J39" s="36"/>
      <c r="K39" s="10"/>
      <c r="L39" s="10"/>
      <c r="M39" s="20"/>
      <c r="N39" s="20"/>
      <c r="O39" s="20"/>
      <c r="P39" s="20"/>
      <c r="Q39" s="20"/>
      <c r="R39" s="20"/>
      <c r="S39" s="48"/>
      <c r="T39" s="48"/>
      <c r="U39" s="48"/>
      <c r="V39" s="48"/>
      <c r="W39" s="48"/>
      <c r="X39" s="48"/>
      <c r="Y39" s="27">
        <f t="shared" si="0"/>
        <v>0</v>
      </c>
      <c r="Z39" s="27" t="e">
        <f t="shared" si="6"/>
        <v>#DIV/0!</v>
      </c>
      <c r="AA39" s="28" t="e">
        <f>VLOOKUP(Z39,Grading!$A$1:$B$102,2,TRUE)</f>
        <v>#DIV/0!</v>
      </c>
      <c r="AB39" s="52"/>
      <c r="AC39" s="27">
        <f t="shared" si="1"/>
        <v>0</v>
      </c>
      <c r="AD39" s="27">
        <f t="shared" si="2"/>
        <v>0</v>
      </c>
      <c r="AE39" s="28">
        <f>VLOOKUP(AD39,Grading!$A$1:$B$102,2,TRUE)</f>
        <v>5</v>
      </c>
      <c r="AF39" s="54"/>
      <c r="AG39" s="56">
        <f t="shared" si="3"/>
        <v>0</v>
      </c>
      <c r="AH39" s="51">
        <f t="shared" si="4"/>
        <v>0</v>
      </c>
      <c r="AI39" s="28">
        <f>VLOOKUP(AH39,Grading!$A$1:$B$102,2,TRUE)</f>
        <v>5</v>
      </c>
      <c r="AJ39" s="20"/>
      <c r="AK39" s="20">
        <f t="shared" si="5"/>
        <v>0</v>
      </c>
      <c r="AL39" s="57">
        <f>VLOOKUP(AK39,Grading!$A$1:$B$102,2,TRUE)</f>
        <v>5</v>
      </c>
      <c r="AM39" s="31" t="e">
        <f t="shared" si="7"/>
        <v>#DIV/0!</v>
      </c>
      <c r="AN39" s="31" t="e">
        <f>Midterms!AK39</f>
        <v>#DIV/0!</v>
      </c>
      <c r="AO39" s="31" t="e">
        <f t="shared" si="8"/>
        <v>#DIV/0!</v>
      </c>
      <c r="AP39" s="61"/>
    </row>
    <row r="40" ht="15.75" customHeight="1" spans="1:42">
      <c r="A40" s="39">
        <v>35</v>
      </c>
      <c r="B40" s="40"/>
      <c r="C40" s="36"/>
      <c r="D40" s="36"/>
      <c r="E40" s="36"/>
      <c r="F40" s="36"/>
      <c r="G40" s="36"/>
      <c r="H40" s="36"/>
      <c r="I40" s="36"/>
      <c r="J40" s="36"/>
      <c r="K40" s="10"/>
      <c r="L40" s="10"/>
      <c r="M40" s="20"/>
      <c r="N40" s="20"/>
      <c r="O40" s="20"/>
      <c r="P40" s="20"/>
      <c r="Q40" s="20"/>
      <c r="R40" s="20"/>
      <c r="S40" s="48"/>
      <c r="T40" s="48"/>
      <c r="U40" s="48"/>
      <c r="V40" s="49"/>
      <c r="W40" s="49"/>
      <c r="X40" s="49"/>
      <c r="Y40" s="27">
        <f t="shared" si="0"/>
        <v>0</v>
      </c>
      <c r="Z40" s="27" t="e">
        <f t="shared" si="6"/>
        <v>#DIV/0!</v>
      </c>
      <c r="AA40" s="28" t="e">
        <f>VLOOKUP(Z40,Grading!$A$1:$B$102,2,TRUE)</f>
        <v>#DIV/0!</v>
      </c>
      <c r="AB40" s="52"/>
      <c r="AC40" s="27">
        <f t="shared" si="1"/>
        <v>0</v>
      </c>
      <c r="AD40" s="27">
        <f t="shared" si="2"/>
        <v>0</v>
      </c>
      <c r="AE40" s="28">
        <f>VLOOKUP(AD40,Grading!$A$1:$B$102,2,TRUE)</f>
        <v>5</v>
      </c>
      <c r="AF40" s="54"/>
      <c r="AG40" s="56">
        <f t="shared" si="3"/>
        <v>0</v>
      </c>
      <c r="AH40" s="51">
        <f t="shared" si="4"/>
        <v>0</v>
      </c>
      <c r="AI40" s="28">
        <f>VLOOKUP(AH40,Grading!$A$1:$B$102,2,TRUE)</f>
        <v>5</v>
      </c>
      <c r="AJ40" s="20"/>
      <c r="AK40" s="20">
        <f t="shared" si="5"/>
        <v>0</v>
      </c>
      <c r="AL40" s="57">
        <f>VLOOKUP(AK40,Grading!$A$1:$B$102,2,TRUE)</f>
        <v>5</v>
      </c>
      <c r="AM40" s="31" t="e">
        <f t="shared" si="7"/>
        <v>#DIV/0!</v>
      </c>
      <c r="AN40" s="31" t="e">
        <f>Midterms!AK40</f>
        <v>#DIV/0!</v>
      </c>
      <c r="AO40" s="31" t="e">
        <f t="shared" si="8"/>
        <v>#DIV/0!</v>
      </c>
      <c r="AP40" s="61"/>
    </row>
    <row r="41" ht="15.75" customHeight="1" spans="1:42">
      <c r="A41" s="39">
        <v>36</v>
      </c>
      <c r="B41" s="40"/>
      <c r="C41" s="36"/>
      <c r="D41" s="36"/>
      <c r="E41" s="36"/>
      <c r="F41" s="36"/>
      <c r="G41" s="36"/>
      <c r="H41" s="36"/>
      <c r="I41" s="36"/>
      <c r="J41" s="36"/>
      <c r="K41" s="10"/>
      <c r="L41" s="10"/>
      <c r="M41" s="20"/>
      <c r="N41" s="20"/>
      <c r="O41" s="20"/>
      <c r="P41" s="20"/>
      <c r="Q41" s="20"/>
      <c r="R41" s="20"/>
      <c r="S41" s="49"/>
      <c r="T41" s="48"/>
      <c r="U41" s="48"/>
      <c r="V41" s="48"/>
      <c r="W41" s="48"/>
      <c r="X41" s="49"/>
      <c r="Y41" s="27">
        <f t="shared" si="0"/>
        <v>0</v>
      </c>
      <c r="Z41" s="27" t="e">
        <f t="shared" si="6"/>
        <v>#DIV/0!</v>
      </c>
      <c r="AA41" s="28" t="e">
        <f>VLOOKUP(Z41,Grading!$A$1:$B$102,2,TRUE)</f>
        <v>#DIV/0!</v>
      </c>
      <c r="AB41" s="52"/>
      <c r="AC41" s="27">
        <f t="shared" si="1"/>
        <v>0</v>
      </c>
      <c r="AD41" s="27">
        <f t="shared" si="2"/>
        <v>0</v>
      </c>
      <c r="AE41" s="28">
        <f>VLOOKUP(AD41,Grading!$A$1:$B$102,2,TRUE)</f>
        <v>5</v>
      </c>
      <c r="AF41" s="54"/>
      <c r="AG41" s="56">
        <f t="shared" si="3"/>
        <v>0</v>
      </c>
      <c r="AH41" s="51">
        <f t="shared" si="4"/>
        <v>0</v>
      </c>
      <c r="AI41" s="28">
        <f>VLOOKUP(AH41,Grading!$A$1:$B$102,2,TRUE)</f>
        <v>5</v>
      </c>
      <c r="AJ41" s="20"/>
      <c r="AK41" s="20">
        <f t="shared" si="5"/>
        <v>0</v>
      </c>
      <c r="AL41" s="57">
        <f>VLOOKUP(AK41,Grading!$A$1:$B$102,2,TRUE)</f>
        <v>5</v>
      </c>
      <c r="AM41" s="31" t="e">
        <f t="shared" si="7"/>
        <v>#DIV/0!</v>
      </c>
      <c r="AN41" s="31" t="e">
        <f>Midterms!AK41</f>
        <v>#DIV/0!</v>
      </c>
      <c r="AO41" s="31" t="e">
        <f t="shared" si="8"/>
        <v>#DIV/0!</v>
      </c>
      <c r="AP41" s="61" t="s">
        <v>33</v>
      </c>
    </row>
    <row r="42" ht="15.75" customHeight="1" spans="1:42">
      <c r="A42" s="39">
        <v>37</v>
      </c>
      <c r="B42" s="41"/>
      <c r="C42" s="36"/>
      <c r="D42" s="36"/>
      <c r="E42" s="36"/>
      <c r="F42" s="36"/>
      <c r="G42" s="36"/>
      <c r="H42" s="36"/>
      <c r="I42" s="36"/>
      <c r="J42" s="36"/>
      <c r="K42" s="10"/>
      <c r="L42" s="10"/>
      <c r="M42" s="20"/>
      <c r="N42" s="20"/>
      <c r="O42" s="20"/>
      <c r="P42" s="20"/>
      <c r="Q42" s="20"/>
      <c r="R42" s="20"/>
      <c r="S42" s="48"/>
      <c r="T42" s="48"/>
      <c r="U42" s="48"/>
      <c r="V42" s="48"/>
      <c r="W42" s="48"/>
      <c r="X42" s="48"/>
      <c r="Y42" s="27">
        <f t="shared" si="0"/>
        <v>0</v>
      </c>
      <c r="Z42" s="27" t="e">
        <f t="shared" si="6"/>
        <v>#DIV/0!</v>
      </c>
      <c r="AA42" s="28" t="e">
        <f>VLOOKUP(Z42,Grading!$A$1:$B$102,2,TRUE)</f>
        <v>#DIV/0!</v>
      </c>
      <c r="AB42" s="52"/>
      <c r="AC42" s="27">
        <f t="shared" si="1"/>
        <v>0</v>
      </c>
      <c r="AD42" s="27">
        <f t="shared" si="2"/>
        <v>0</v>
      </c>
      <c r="AE42" s="28">
        <f>VLOOKUP(AD42,Grading!$A$1:$B$102,2,TRUE)</f>
        <v>5</v>
      </c>
      <c r="AF42" s="54"/>
      <c r="AG42" s="56">
        <f t="shared" si="3"/>
        <v>0</v>
      </c>
      <c r="AH42" s="51">
        <f t="shared" si="4"/>
        <v>0</v>
      </c>
      <c r="AI42" s="28">
        <f>VLOOKUP(AH42,Grading!$A$1:$B$102,2,TRUE)</f>
        <v>5</v>
      </c>
      <c r="AJ42" s="20"/>
      <c r="AK42" s="20">
        <f t="shared" si="5"/>
        <v>0</v>
      </c>
      <c r="AL42" s="57">
        <f>VLOOKUP(AK42,Grading!$A$1:$B$102,2,TRUE)</f>
        <v>5</v>
      </c>
      <c r="AM42" s="31" t="e">
        <f t="shared" si="7"/>
        <v>#DIV/0!</v>
      </c>
      <c r="AN42" s="31" t="e">
        <f>Midterms!AK42</f>
        <v>#DIV/0!</v>
      </c>
      <c r="AO42" s="31" t="e">
        <f t="shared" si="8"/>
        <v>#DIV/0!</v>
      </c>
      <c r="AP42" s="61"/>
    </row>
    <row r="43" ht="15.75" customHeight="1" spans="1:42">
      <c r="A43" s="39">
        <v>38</v>
      </c>
      <c r="B43" s="40"/>
      <c r="C43" s="36"/>
      <c r="D43" s="36"/>
      <c r="E43" s="36"/>
      <c r="F43" s="36"/>
      <c r="G43" s="36"/>
      <c r="H43" s="36"/>
      <c r="I43" s="36"/>
      <c r="J43" s="36"/>
      <c r="K43" s="10"/>
      <c r="L43" s="10"/>
      <c r="M43" s="20"/>
      <c r="N43" s="20"/>
      <c r="O43" s="20"/>
      <c r="P43" s="20"/>
      <c r="Q43" s="20"/>
      <c r="R43" s="20"/>
      <c r="S43" s="48"/>
      <c r="T43" s="48"/>
      <c r="U43" s="48"/>
      <c r="V43" s="48"/>
      <c r="W43" s="48"/>
      <c r="X43" s="48"/>
      <c r="Y43" s="27">
        <f t="shared" si="0"/>
        <v>0</v>
      </c>
      <c r="Z43" s="27" t="e">
        <f t="shared" si="6"/>
        <v>#DIV/0!</v>
      </c>
      <c r="AA43" s="28" t="e">
        <f>VLOOKUP(Z43,Grading!$A$1:$B$102,2,TRUE)</f>
        <v>#DIV/0!</v>
      </c>
      <c r="AB43" s="52"/>
      <c r="AC43" s="27">
        <f t="shared" si="1"/>
        <v>0</v>
      </c>
      <c r="AD43" s="27">
        <f t="shared" si="2"/>
        <v>0</v>
      </c>
      <c r="AE43" s="28">
        <f>VLOOKUP(AD43,Grading!$A$1:$B$102,2,TRUE)</f>
        <v>5</v>
      </c>
      <c r="AF43" s="54"/>
      <c r="AG43" s="56">
        <f t="shared" si="3"/>
        <v>0</v>
      </c>
      <c r="AH43" s="51">
        <f t="shared" si="4"/>
        <v>0</v>
      </c>
      <c r="AI43" s="28">
        <f>VLOOKUP(AH43,Grading!$A$1:$B$102,2,TRUE)</f>
        <v>5</v>
      </c>
      <c r="AJ43" s="20"/>
      <c r="AK43" s="20">
        <f t="shared" si="5"/>
        <v>0</v>
      </c>
      <c r="AL43" s="57">
        <f>VLOOKUP(AK43,Grading!$A$1:$B$102,2,TRUE)</f>
        <v>5</v>
      </c>
      <c r="AM43" s="31" t="e">
        <f t="shared" si="7"/>
        <v>#DIV/0!</v>
      </c>
      <c r="AN43" s="31" t="e">
        <f>Midterms!AK43</f>
        <v>#DIV/0!</v>
      </c>
      <c r="AO43" s="31" t="e">
        <f t="shared" si="8"/>
        <v>#DIV/0!</v>
      </c>
      <c r="AP43" s="61"/>
    </row>
    <row r="44" ht="15.75" customHeight="1" spans="1:42">
      <c r="A44" s="39">
        <v>39</v>
      </c>
      <c r="B44" s="41"/>
      <c r="C44" s="36"/>
      <c r="D44" s="36"/>
      <c r="E44" s="36"/>
      <c r="F44" s="36"/>
      <c r="G44" s="36"/>
      <c r="H44" s="36"/>
      <c r="I44" s="36"/>
      <c r="J44" s="36"/>
      <c r="K44" s="10"/>
      <c r="L44" s="10"/>
      <c r="M44" s="20"/>
      <c r="N44" s="20"/>
      <c r="O44" s="20"/>
      <c r="P44" s="20"/>
      <c r="Q44" s="20"/>
      <c r="R44" s="20"/>
      <c r="S44" s="48"/>
      <c r="T44" s="48"/>
      <c r="U44" s="48"/>
      <c r="V44" s="48"/>
      <c r="W44" s="48"/>
      <c r="X44" s="48"/>
      <c r="Y44" s="27">
        <f t="shared" si="0"/>
        <v>0</v>
      </c>
      <c r="Z44" s="27" t="e">
        <f t="shared" si="6"/>
        <v>#DIV/0!</v>
      </c>
      <c r="AA44" s="28" t="e">
        <f>VLOOKUP(Z44,Grading!$A$1:$B$102,2,TRUE)</f>
        <v>#DIV/0!</v>
      </c>
      <c r="AB44" s="52"/>
      <c r="AC44" s="27">
        <f t="shared" si="1"/>
        <v>0</v>
      </c>
      <c r="AD44" s="27">
        <f t="shared" si="2"/>
        <v>0</v>
      </c>
      <c r="AE44" s="28">
        <f>VLOOKUP(AD44,Grading!$A$1:$B$102,2,TRUE)</f>
        <v>5</v>
      </c>
      <c r="AF44" s="54"/>
      <c r="AG44" s="56">
        <f t="shared" si="3"/>
        <v>0</v>
      </c>
      <c r="AH44" s="51">
        <f t="shared" si="4"/>
        <v>0</v>
      </c>
      <c r="AI44" s="28">
        <f>VLOOKUP(AH44,Grading!$A$1:$B$102,2,TRUE)</f>
        <v>5</v>
      </c>
      <c r="AJ44" s="20"/>
      <c r="AK44" s="20">
        <f t="shared" si="5"/>
        <v>0</v>
      </c>
      <c r="AL44" s="57">
        <f>VLOOKUP(AK44,Grading!$A$1:$B$102,2,TRUE)</f>
        <v>5</v>
      </c>
      <c r="AM44" s="31" t="e">
        <f t="shared" si="7"/>
        <v>#DIV/0!</v>
      </c>
      <c r="AN44" s="31" t="e">
        <f>Midterms!AK44</f>
        <v>#DIV/0!</v>
      </c>
      <c r="AO44" s="31" t="e">
        <f t="shared" si="8"/>
        <v>#DIV/0!</v>
      </c>
      <c r="AP44" s="61"/>
    </row>
    <row r="45" ht="15.75" customHeight="1" spans="1:42">
      <c r="A45" s="39">
        <v>40</v>
      </c>
      <c r="B45" s="40"/>
      <c r="C45" s="36"/>
      <c r="D45" s="36"/>
      <c r="E45" s="36"/>
      <c r="F45" s="36"/>
      <c r="G45" s="36"/>
      <c r="H45" s="36"/>
      <c r="I45" s="36"/>
      <c r="J45" s="36"/>
      <c r="K45" s="10"/>
      <c r="L45" s="10"/>
      <c r="M45" s="20"/>
      <c r="N45" s="20"/>
      <c r="O45" s="20"/>
      <c r="P45" s="20"/>
      <c r="Q45" s="20"/>
      <c r="R45" s="20"/>
      <c r="S45" s="49"/>
      <c r="T45" s="48"/>
      <c r="U45" s="48"/>
      <c r="V45" s="48"/>
      <c r="W45" s="48"/>
      <c r="X45" s="48"/>
      <c r="Y45" s="27">
        <f t="shared" si="0"/>
        <v>0</v>
      </c>
      <c r="Z45" s="27" t="e">
        <f t="shared" si="6"/>
        <v>#DIV/0!</v>
      </c>
      <c r="AA45" s="28" t="e">
        <f>VLOOKUP(Z45,Grading!$A$1:$B$102,2,TRUE)</f>
        <v>#DIV/0!</v>
      </c>
      <c r="AB45" s="52"/>
      <c r="AC45" s="27">
        <f t="shared" si="1"/>
        <v>0</v>
      </c>
      <c r="AD45" s="27">
        <f t="shared" si="2"/>
        <v>0</v>
      </c>
      <c r="AE45" s="28">
        <f>VLOOKUP(AD45,Grading!$A$1:$B$102,2,TRUE)</f>
        <v>5</v>
      </c>
      <c r="AF45" s="54"/>
      <c r="AG45" s="56">
        <f t="shared" si="3"/>
        <v>0</v>
      </c>
      <c r="AH45" s="51">
        <f t="shared" si="4"/>
        <v>0</v>
      </c>
      <c r="AI45" s="28">
        <f>VLOOKUP(AH45,Grading!$A$1:$B$102,2,TRUE)</f>
        <v>5</v>
      </c>
      <c r="AJ45" s="20"/>
      <c r="AK45" s="20">
        <f t="shared" si="5"/>
        <v>0</v>
      </c>
      <c r="AL45" s="57">
        <f>VLOOKUP(AK45,Grading!$A$1:$B$102,2,TRUE)</f>
        <v>5</v>
      </c>
      <c r="AM45" s="31" t="e">
        <f t="shared" si="7"/>
        <v>#DIV/0!</v>
      </c>
      <c r="AN45" s="31" t="e">
        <f>Midterms!AK45</f>
        <v>#DIV/0!</v>
      </c>
      <c r="AO45" s="31" t="e">
        <f t="shared" si="8"/>
        <v>#DIV/0!</v>
      </c>
      <c r="AP45" s="61"/>
    </row>
    <row r="46" ht="15.75" customHeight="1" spans="1:42">
      <c r="A46" s="39">
        <v>41</v>
      </c>
      <c r="B46" s="41"/>
      <c r="C46" s="36"/>
      <c r="D46" s="36"/>
      <c r="E46" s="36"/>
      <c r="F46" s="36"/>
      <c r="G46" s="36"/>
      <c r="H46" s="36"/>
      <c r="I46" s="36"/>
      <c r="J46" s="36"/>
      <c r="K46" s="10"/>
      <c r="L46" s="10"/>
      <c r="M46" s="20"/>
      <c r="N46" s="20"/>
      <c r="O46" s="20"/>
      <c r="P46" s="20"/>
      <c r="Q46" s="20"/>
      <c r="R46" s="20"/>
      <c r="S46" s="48"/>
      <c r="T46" s="48"/>
      <c r="U46" s="48"/>
      <c r="V46" s="48"/>
      <c r="W46" s="48"/>
      <c r="X46" s="48"/>
      <c r="Y46" s="27">
        <f t="shared" si="0"/>
        <v>0</v>
      </c>
      <c r="Z46" s="27" t="e">
        <f t="shared" si="6"/>
        <v>#DIV/0!</v>
      </c>
      <c r="AA46" s="28" t="e">
        <f>VLOOKUP(Z46,Grading!$A$1:$B$102,2,TRUE)</f>
        <v>#DIV/0!</v>
      </c>
      <c r="AB46" s="52"/>
      <c r="AC46" s="27">
        <f t="shared" si="1"/>
        <v>0</v>
      </c>
      <c r="AD46" s="27">
        <f t="shared" si="2"/>
        <v>0</v>
      </c>
      <c r="AE46" s="28">
        <f>VLOOKUP(AD46,Grading!$A$1:$B$102,2,TRUE)</f>
        <v>5</v>
      </c>
      <c r="AF46" s="54"/>
      <c r="AG46" s="56">
        <f t="shared" si="3"/>
        <v>0</v>
      </c>
      <c r="AH46" s="51">
        <f t="shared" si="4"/>
        <v>0</v>
      </c>
      <c r="AI46" s="28">
        <f>VLOOKUP(AH46,Grading!$A$1:$B$102,2,TRUE)</f>
        <v>5</v>
      </c>
      <c r="AJ46" s="20"/>
      <c r="AK46" s="20">
        <f t="shared" si="5"/>
        <v>0</v>
      </c>
      <c r="AL46" s="57">
        <f>VLOOKUP(AK46,Grading!$A$1:$B$102,2,TRUE)</f>
        <v>5</v>
      </c>
      <c r="AM46" s="31" t="e">
        <f t="shared" si="7"/>
        <v>#DIV/0!</v>
      </c>
      <c r="AN46" s="31" t="e">
        <f>Midterms!AK46</f>
        <v>#DIV/0!</v>
      </c>
      <c r="AO46" s="31" t="e">
        <f t="shared" si="8"/>
        <v>#DIV/0!</v>
      </c>
      <c r="AP46" s="61"/>
    </row>
    <row r="47" ht="15.75" customHeight="1" spans="1:42">
      <c r="A47" s="39">
        <v>42</v>
      </c>
      <c r="B47" s="40"/>
      <c r="C47" s="36"/>
      <c r="D47" s="36"/>
      <c r="E47" s="36"/>
      <c r="F47" s="36"/>
      <c r="G47" s="36"/>
      <c r="H47" s="36"/>
      <c r="I47" s="36"/>
      <c r="J47" s="36"/>
      <c r="K47" s="10"/>
      <c r="L47" s="10"/>
      <c r="M47" s="20"/>
      <c r="N47" s="20"/>
      <c r="O47" s="20"/>
      <c r="P47" s="20"/>
      <c r="Q47" s="20"/>
      <c r="R47" s="20"/>
      <c r="S47" s="48"/>
      <c r="T47" s="48"/>
      <c r="U47" s="48"/>
      <c r="V47" s="48"/>
      <c r="W47" s="48"/>
      <c r="X47" s="48"/>
      <c r="Y47" s="27">
        <f t="shared" si="0"/>
        <v>0</v>
      </c>
      <c r="Z47" s="27" t="e">
        <f t="shared" si="6"/>
        <v>#DIV/0!</v>
      </c>
      <c r="AA47" s="28" t="e">
        <f>VLOOKUP(Z47,Grading!$A$1:$B$102,2,TRUE)</f>
        <v>#DIV/0!</v>
      </c>
      <c r="AB47" s="52"/>
      <c r="AC47" s="27">
        <f t="shared" si="1"/>
        <v>0</v>
      </c>
      <c r="AD47" s="27">
        <f t="shared" si="2"/>
        <v>0</v>
      </c>
      <c r="AE47" s="28">
        <f>VLOOKUP(AD47,Grading!$A$1:$B$102,2,TRUE)</f>
        <v>5</v>
      </c>
      <c r="AF47" s="54"/>
      <c r="AG47" s="56">
        <f t="shared" si="3"/>
        <v>0</v>
      </c>
      <c r="AH47" s="51">
        <f t="shared" si="4"/>
        <v>0</v>
      </c>
      <c r="AI47" s="28">
        <f>VLOOKUP(AH47,Grading!$A$1:$B$102,2,TRUE)</f>
        <v>5</v>
      </c>
      <c r="AJ47" s="20"/>
      <c r="AK47" s="20">
        <f t="shared" si="5"/>
        <v>0</v>
      </c>
      <c r="AL47" s="57">
        <f>VLOOKUP(AK47,Grading!$A$1:$B$102,2,TRUE)</f>
        <v>5</v>
      </c>
      <c r="AM47" s="31" t="e">
        <f t="shared" si="7"/>
        <v>#DIV/0!</v>
      </c>
      <c r="AN47" s="31" t="e">
        <f>Midterms!AK47</f>
        <v>#DIV/0!</v>
      </c>
      <c r="AO47" s="31" t="e">
        <f t="shared" si="8"/>
        <v>#DIV/0!</v>
      </c>
      <c r="AP47" s="6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39">
    <mergeCell ref="A1:AO1"/>
    <mergeCell ref="S2:AA2"/>
    <mergeCell ref="AB2:AE2"/>
    <mergeCell ref="AF2:AI2"/>
    <mergeCell ref="AJ2:AM2"/>
    <mergeCell ref="AN2:AO2"/>
    <mergeCell ref="A4:B4"/>
    <mergeCell ref="A5:B5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Y3:Y4"/>
    <mergeCell ref="Z3:Z4"/>
    <mergeCell ref="AA3:AA4"/>
    <mergeCell ref="AC3:AC4"/>
    <mergeCell ref="AD3:AD4"/>
    <mergeCell ref="AE3:AE4"/>
    <mergeCell ref="AG3:AG4"/>
    <mergeCell ref="AH3:AH4"/>
    <mergeCell ref="AI3:AI4"/>
    <mergeCell ref="AK3:AK4"/>
    <mergeCell ref="AL3:AL4"/>
    <mergeCell ref="AM3:AM4"/>
    <mergeCell ref="AN3:AN4"/>
    <mergeCell ref="AO3:AO4"/>
    <mergeCell ref="A2:B3"/>
  </mergeCells>
  <conditionalFormatting sqref="L6:L47">
    <cfRule type="cellIs" dxfId="4" priority="1" operator="equal">
      <formula>1</formula>
    </cfRule>
    <cfRule type="containsBlanks" dxfId="2" priority="3">
      <formula>LEN(TRIM(L6))=0</formula>
    </cfRule>
  </conditionalFormatting>
  <conditionalFormatting sqref="L7:L47">
    <cfRule type="containsBlanks" dxfId="5" priority="2">
      <formula>LEN(TRIM(L7))=0</formula>
    </cfRule>
  </conditionalFormatting>
  <conditionalFormatting sqref="AL6:AL47">
    <cfRule type="cellIs" dxfId="6" priority="9" operator="greaterThanOrEqual">
      <formula>3.1</formula>
    </cfRule>
    <cfRule type="cellIs" dxfId="7" priority="10" operator="lessThan">
      <formula>3.1</formula>
    </cfRule>
  </conditionalFormatting>
  <conditionalFormatting sqref="AO6:AO47">
    <cfRule type="cellIs" dxfId="8" priority="11" operator="greaterThan">
      <formula>3.1</formula>
    </cfRule>
  </conditionalFormatting>
  <conditionalFormatting sqref="C6:K47 L21 M21:M23 N21:R21">
    <cfRule type="cellIs" dxfId="4" priority="4" operator="equal">
      <formula>1</formula>
    </cfRule>
    <cfRule type="containsBlanks" dxfId="5" priority="5">
      <formula>LEN(TRIM(C6))=0</formula>
    </cfRule>
    <cfRule type="containsBlanks" dxfId="2" priority="6">
      <formula>LEN(TRIM(C6))=0</formula>
    </cfRule>
  </conditionalFormatting>
  <conditionalFormatting sqref="M6:R47">
    <cfRule type="notContainsBlanks" dxfId="9" priority="12">
      <formula>LEN(TRIM(M6))&gt;0</formula>
    </cfRule>
  </conditionalFormatting>
  <conditionalFormatting sqref="AM6:AP47">
    <cfRule type="cellIs" dxfId="0" priority="7" operator="lessThan">
      <formula>3.1</formula>
    </cfRule>
    <cfRule type="cellIs" dxfId="1" priority="8" operator="greaterThanOrEqual">
      <formula>3.1</formula>
    </cfRule>
  </conditionalFormatting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workbookViewId="0">
      <pane xSplit="3" ySplit="5" topLeftCell="D6" activePane="bottomRight" state="frozen"/>
      <selection/>
      <selection pane="topRight"/>
      <selection pane="bottomLeft"/>
      <selection pane="bottomRight" activeCell="D6" sqref="D6"/>
    </sheetView>
  </sheetViews>
  <sheetFormatPr defaultColWidth="14.4272727272727" defaultRowHeight="15" customHeight="1"/>
  <cols>
    <col min="1" max="1" width="3" customWidth="1"/>
    <col min="2" max="3" width="8.70909090909091" customWidth="1"/>
    <col min="4" max="4" width="2.70909090909091" customWidth="1"/>
    <col min="5" max="7" width="1.70909090909091" customWidth="1"/>
    <col min="8" max="8" width="2" customWidth="1"/>
    <col min="9" max="9" width="3.86363636363636" customWidth="1"/>
    <col min="10" max="10" width="3.70909090909091" customWidth="1"/>
    <col min="11" max="11" width="4.42727272727273" customWidth="1"/>
    <col min="12" max="13" width="2.70909090909091" customWidth="1"/>
    <col min="14" max="14" width="1.42727272727273" customWidth="1"/>
    <col min="15" max="15" width="4.42727272727273" customWidth="1"/>
    <col min="16" max="16" width="3.70909090909091" customWidth="1"/>
    <col min="17" max="17" width="5.13636363636364" customWidth="1"/>
    <col min="18" max="18" width="4.70909090909091" customWidth="1"/>
    <col min="19" max="19" width="4.13636363636364" customWidth="1"/>
    <col min="20" max="20" width="6" customWidth="1"/>
    <col min="21" max="21" width="4.86363636363636" customWidth="1"/>
    <col min="22" max="22" width="4" customWidth="1"/>
    <col min="23" max="23" width="4.42727272727273" customWidth="1"/>
  </cols>
  <sheetData>
    <row r="1" ht="26" spans="1:2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1"/>
    </row>
    <row r="2" ht="14.5" spans="1:23">
      <c r="A2" s="3" t="s">
        <v>1</v>
      </c>
      <c r="B2" s="4"/>
      <c r="C2" s="5"/>
      <c r="D2" s="6" t="s">
        <v>18</v>
      </c>
      <c r="E2" s="2"/>
      <c r="F2" s="2"/>
      <c r="G2" s="2"/>
      <c r="H2" s="2"/>
      <c r="I2" s="2"/>
      <c r="J2" s="2"/>
      <c r="K2" s="21"/>
      <c r="L2" s="6" t="s">
        <v>19</v>
      </c>
      <c r="M2" s="2"/>
      <c r="N2" s="2"/>
      <c r="O2" s="2"/>
      <c r="P2" s="2"/>
      <c r="Q2" s="21"/>
      <c r="R2" s="6" t="s">
        <v>21</v>
      </c>
      <c r="S2" s="2"/>
      <c r="T2" s="2"/>
      <c r="U2" s="21"/>
      <c r="V2" s="6" t="s">
        <v>22</v>
      </c>
      <c r="W2" s="21"/>
    </row>
    <row r="3" ht="50.25" customHeight="1" spans="1:23">
      <c r="A3" s="7"/>
      <c r="B3" s="8"/>
      <c r="C3" s="9"/>
      <c r="D3" s="10"/>
      <c r="E3" s="10"/>
      <c r="F3" s="10"/>
      <c r="G3" s="10"/>
      <c r="H3" s="11"/>
      <c r="I3" s="22" t="s">
        <v>3</v>
      </c>
      <c r="J3" s="23" t="s">
        <v>4</v>
      </c>
      <c r="K3" s="22" t="s">
        <v>5</v>
      </c>
      <c r="L3" s="10"/>
      <c r="M3" s="10"/>
      <c r="N3" s="10"/>
      <c r="O3" s="22" t="s">
        <v>7</v>
      </c>
      <c r="P3" s="23" t="s">
        <v>4</v>
      </c>
      <c r="Q3" s="22" t="s">
        <v>8</v>
      </c>
      <c r="R3" s="10"/>
      <c r="S3" s="23" t="s">
        <v>4</v>
      </c>
      <c r="T3" s="22" t="s">
        <v>28</v>
      </c>
      <c r="U3" s="22" t="s">
        <v>29</v>
      </c>
      <c r="V3" s="22" t="s">
        <v>11</v>
      </c>
      <c r="W3" s="29" t="s">
        <v>22</v>
      </c>
    </row>
    <row r="4" ht="14.5" spans="1:23">
      <c r="A4" s="12" t="s">
        <v>12</v>
      </c>
      <c r="B4" s="2"/>
      <c r="C4" s="13"/>
      <c r="D4" s="13"/>
      <c r="E4" s="13"/>
      <c r="F4" s="13"/>
      <c r="G4" s="13"/>
      <c r="H4" s="14"/>
      <c r="I4" s="24"/>
      <c r="J4" s="24"/>
      <c r="K4" s="24"/>
      <c r="L4" s="13"/>
      <c r="M4" s="13"/>
      <c r="N4" s="13"/>
      <c r="O4" s="24"/>
      <c r="P4" s="24"/>
      <c r="Q4" s="24"/>
      <c r="R4" s="13"/>
      <c r="S4" s="24"/>
      <c r="T4" s="24"/>
      <c r="U4" s="24"/>
      <c r="V4" s="24"/>
      <c r="W4" s="24"/>
    </row>
    <row r="5" ht="14.5" spans="1:23">
      <c r="A5" s="15" t="s">
        <v>13</v>
      </c>
      <c r="B5" s="2"/>
      <c r="C5" s="16"/>
      <c r="D5" s="17"/>
      <c r="E5" s="17"/>
      <c r="F5" s="17"/>
      <c r="G5" s="17"/>
      <c r="H5" s="17"/>
      <c r="I5" s="25">
        <f t="shared" ref="I5:I31" si="0">SUM(D5:H5)</f>
        <v>0</v>
      </c>
      <c r="J5" s="17">
        <v>100</v>
      </c>
      <c r="K5" s="26" t="s">
        <v>35</v>
      </c>
      <c r="L5" s="17"/>
      <c r="M5" s="17"/>
      <c r="N5" s="17"/>
      <c r="O5" s="25">
        <f t="shared" ref="O5:O31" si="1">SUM(L5:N5)</f>
        <v>0</v>
      </c>
      <c r="P5" s="17" t="e">
        <f t="shared" ref="P5:P31" si="2">ROUNDUP(O5*100/$O$5,0)</f>
        <v>#DIV/0!</v>
      </c>
      <c r="Q5" s="26" t="s">
        <v>35</v>
      </c>
      <c r="R5" s="17"/>
      <c r="S5" s="17" t="e">
        <f t="shared" ref="S5:S31" si="3">ROUNDUP(R5*100/$R$5,0)</f>
        <v>#DIV/0!</v>
      </c>
      <c r="T5" s="26" t="s">
        <v>35</v>
      </c>
      <c r="U5" s="26" t="e">
        <f t="shared" ref="U5:U31" si="4">ROUNDDOWN((K5*0.2)+(Q5*0.2)+(T5*0.6),1)</f>
        <v>#VALUE!</v>
      </c>
      <c r="V5" s="30"/>
      <c r="W5" s="30"/>
    </row>
    <row r="6" ht="14.5" spans="1:23">
      <c r="A6" s="18">
        <v>1</v>
      </c>
      <c r="B6" s="19"/>
      <c r="C6" s="19"/>
      <c r="D6" s="20"/>
      <c r="E6" s="20"/>
      <c r="F6" s="20"/>
      <c r="G6" s="20"/>
      <c r="H6" s="20"/>
      <c r="I6" s="27">
        <f t="shared" si="0"/>
        <v>0</v>
      </c>
      <c r="J6" s="27" t="e">
        <f t="shared" ref="J6:J31" si="5">ROUNDUP(I6*100/$I$5,0)</f>
        <v>#DIV/0!</v>
      </c>
      <c r="K6" s="28" t="s">
        <v>35</v>
      </c>
      <c r="L6" s="11"/>
      <c r="M6" s="11"/>
      <c r="N6" s="11"/>
      <c r="O6" s="27">
        <f t="shared" si="1"/>
        <v>0</v>
      </c>
      <c r="P6" s="27" t="e">
        <f t="shared" si="2"/>
        <v>#DIV/0!</v>
      </c>
      <c r="Q6" s="28" t="s">
        <v>35</v>
      </c>
      <c r="R6" s="20"/>
      <c r="S6" s="20" t="e">
        <f t="shared" si="3"/>
        <v>#DIV/0!</v>
      </c>
      <c r="T6" s="28" t="s">
        <v>35</v>
      </c>
      <c r="U6" s="31" t="e">
        <f t="shared" si="4"/>
        <v>#VALUE!</v>
      </c>
      <c r="V6" s="31"/>
      <c r="W6" s="31" t="e">
        <f t="shared" ref="W6:W31" si="6">(U6*0.5)+(V6*0.5)</f>
        <v>#VALUE!</v>
      </c>
    </row>
    <row r="7" ht="14.5" spans="1:23">
      <c r="A7" s="18">
        <v>2</v>
      </c>
      <c r="B7" s="19"/>
      <c r="C7" s="19"/>
      <c r="D7" s="20"/>
      <c r="E7" s="20"/>
      <c r="F7" s="20"/>
      <c r="G7" s="20"/>
      <c r="H7" s="20"/>
      <c r="I7" s="27">
        <f t="shared" si="0"/>
        <v>0</v>
      </c>
      <c r="J7" s="27" t="e">
        <f t="shared" si="5"/>
        <v>#DIV/0!</v>
      </c>
      <c r="K7" s="28" t="s">
        <v>35</v>
      </c>
      <c r="L7" s="11"/>
      <c r="M7" s="11"/>
      <c r="N7" s="11"/>
      <c r="O7" s="27">
        <f t="shared" si="1"/>
        <v>0</v>
      </c>
      <c r="P7" s="27" t="e">
        <f t="shared" si="2"/>
        <v>#DIV/0!</v>
      </c>
      <c r="Q7" s="28" t="s">
        <v>35</v>
      </c>
      <c r="R7" s="20"/>
      <c r="S7" s="20" t="e">
        <f t="shared" si="3"/>
        <v>#DIV/0!</v>
      </c>
      <c r="T7" s="28" t="s">
        <v>35</v>
      </c>
      <c r="U7" s="31" t="e">
        <f t="shared" si="4"/>
        <v>#VALUE!</v>
      </c>
      <c r="V7" s="31"/>
      <c r="W7" s="31" t="e">
        <f t="shared" si="6"/>
        <v>#VALUE!</v>
      </c>
    </row>
    <row r="8" ht="14.5" spans="1:23">
      <c r="A8" s="18">
        <v>3</v>
      </c>
      <c r="B8" s="19"/>
      <c r="C8" s="19"/>
      <c r="D8" s="20"/>
      <c r="E8" s="20"/>
      <c r="F8" s="20"/>
      <c r="G8" s="20"/>
      <c r="H8" s="20"/>
      <c r="I8" s="27">
        <f t="shared" si="0"/>
        <v>0</v>
      </c>
      <c r="J8" s="27" t="e">
        <f t="shared" si="5"/>
        <v>#DIV/0!</v>
      </c>
      <c r="K8" s="28" t="s">
        <v>35</v>
      </c>
      <c r="L8" s="11"/>
      <c r="M8" s="11"/>
      <c r="N8" s="11"/>
      <c r="O8" s="27">
        <f t="shared" si="1"/>
        <v>0</v>
      </c>
      <c r="P8" s="27" t="e">
        <f t="shared" si="2"/>
        <v>#DIV/0!</v>
      </c>
      <c r="Q8" s="28" t="s">
        <v>35</v>
      </c>
      <c r="R8" s="20"/>
      <c r="S8" s="20" t="e">
        <f t="shared" si="3"/>
        <v>#DIV/0!</v>
      </c>
      <c r="T8" s="28" t="s">
        <v>35</v>
      </c>
      <c r="U8" s="31" t="e">
        <f t="shared" si="4"/>
        <v>#VALUE!</v>
      </c>
      <c r="V8" s="31"/>
      <c r="W8" s="31" t="e">
        <f t="shared" si="6"/>
        <v>#VALUE!</v>
      </c>
    </row>
    <row r="9" ht="14.5" spans="1:23">
      <c r="A9" s="18">
        <v>4</v>
      </c>
      <c r="B9" s="19"/>
      <c r="C9" s="19"/>
      <c r="D9" s="20"/>
      <c r="E9" s="20"/>
      <c r="F9" s="20"/>
      <c r="G9" s="20"/>
      <c r="H9" s="20"/>
      <c r="I9" s="27">
        <f t="shared" si="0"/>
        <v>0</v>
      </c>
      <c r="J9" s="27" t="e">
        <f t="shared" si="5"/>
        <v>#DIV/0!</v>
      </c>
      <c r="K9" s="28" t="s">
        <v>35</v>
      </c>
      <c r="L9" s="11"/>
      <c r="M9" s="11"/>
      <c r="N9" s="11"/>
      <c r="O9" s="27">
        <f t="shared" si="1"/>
        <v>0</v>
      </c>
      <c r="P9" s="27" t="e">
        <f t="shared" si="2"/>
        <v>#DIV/0!</v>
      </c>
      <c r="Q9" s="28" t="s">
        <v>35</v>
      </c>
      <c r="R9" s="20"/>
      <c r="S9" s="20" t="e">
        <f t="shared" si="3"/>
        <v>#DIV/0!</v>
      </c>
      <c r="T9" s="28" t="s">
        <v>35</v>
      </c>
      <c r="U9" s="31" t="e">
        <f t="shared" si="4"/>
        <v>#VALUE!</v>
      </c>
      <c r="V9" s="31"/>
      <c r="W9" s="31" t="e">
        <f t="shared" si="6"/>
        <v>#VALUE!</v>
      </c>
    </row>
    <row r="10" ht="14.5" spans="1:23">
      <c r="A10" s="18">
        <v>5</v>
      </c>
      <c r="B10" s="19"/>
      <c r="C10" s="19"/>
      <c r="D10" s="20"/>
      <c r="E10" s="20"/>
      <c r="F10" s="20"/>
      <c r="G10" s="20"/>
      <c r="H10" s="20"/>
      <c r="I10" s="27">
        <f t="shared" si="0"/>
        <v>0</v>
      </c>
      <c r="J10" s="27" t="e">
        <f t="shared" si="5"/>
        <v>#DIV/0!</v>
      </c>
      <c r="K10" s="28" t="s">
        <v>35</v>
      </c>
      <c r="L10" s="11"/>
      <c r="M10" s="11"/>
      <c r="N10" s="11"/>
      <c r="O10" s="27">
        <f t="shared" si="1"/>
        <v>0</v>
      </c>
      <c r="P10" s="27" t="e">
        <f t="shared" si="2"/>
        <v>#DIV/0!</v>
      </c>
      <c r="Q10" s="28" t="s">
        <v>35</v>
      </c>
      <c r="R10" s="20"/>
      <c r="S10" s="20" t="e">
        <f t="shared" si="3"/>
        <v>#DIV/0!</v>
      </c>
      <c r="T10" s="28" t="s">
        <v>35</v>
      </c>
      <c r="U10" s="31" t="e">
        <f t="shared" si="4"/>
        <v>#VALUE!</v>
      </c>
      <c r="V10" s="31"/>
      <c r="W10" s="31" t="e">
        <f t="shared" si="6"/>
        <v>#VALUE!</v>
      </c>
    </row>
    <row r="11" ht="14.5" spans="1:23">
      <c r="A11" s="18">
        <v>6</v>
      </c>
      <c r="B11" s="19"/>
      <c r="C11" s="19"/>
      <c r="D11" s="20"/>
      <c r="E11" s="20"/>
      <c r="F11" s="20"/>
      <c r="G11" s="20"/>
      <c r="H11" s="20"/>
      <c r="I11" s="27">
        <f t="shared" si="0"/>
        <v>0</v>
      </c>
      <c r="J11" s="27" t="e">
        <f t="shared" si="5"/>
        <v>#DIV/0!</v>
      </c>
      <c r="K11" s="28" t="s">
        <v>35</v>
      </c>
      <c r="L11" s="11"/>
      <c r="M11" s="11"/>
      <c r="N11" s="11"/>
      <c r="O11" s="27">
        <f t="shared" si="1"/>
        <v>0</v>
      </c>
      <c r="P11" s="27" t="e">
        <f t="shared" si="2"/>
        <v>#DIV/0!</v>
      </c>
      <c r="Q11" s="28" t="s">
        <v>35</v>
      </c>
      <c r="R11" s="20"/>
      <c r="S11" s="20" t="e">
        <f t="shared" si="3"/>
        <v>#DIV/0!</v>
      </c>
      <c r="T11" s="28" t="s">
        <v>35</v>
      </c>
      <c r="U11" s="31" t="e">
        <f t="shared" si="4"/>
        <v>#VALUE!</v>
      </c>
      <c r="V11" s="31"/>
      <c r="W11" s="31" t="e">
        <f t="shared" si="6"/>
        <v>#VALUE!</v>
      </c>
    </row>
    <row r="12" ht="14.5" spans="1:23">
      <c r="A12" s="18">
        <v>7</v>
      </c>
      <c r="B12" s="19"/>
      <c r="C12" s="19"/>
      <c r="D12" s="20"/>
      <c r="E12" s="20"/>
      <c r="F12" s="20"/>
      <c r="G12" s="20"/>
      <c r="H12" s="20"/>
      <c r="I12" s="27">
        <f t="shared" si="0"/>
        <v>0</v>
      </c>
      <c r="J12" s="27" t="e">
        <f t="shared" si="5"/>
        <v>#DIV/0!</v>
      </c>
      <c r="K12" s="28" t="s">
        <v>35</v>
      </c>
      <c r="L12" s="11"/>
      <c r="M12" s="11"/>
      <c r="N12" s="11"/>
      <c r="O12" s="27">
        <f t="shared" si="1"/>
        <v>0</v>
      </c>
      <c r="P12" s="27" t="e">
        <f t="shared" si="2"/>
        <v>#DIV/0!</v>
      </c>
      <c r="Q12" s="28" t="s">
        <v>35</v>
      </c>
      <c r="R12" s="20"/>
      <c r="S12" s="20" t="e">
        <f t="shared" si="3"/>
        <v>#DIV/0!</v>
      </c>
      <c r="T12" s="28" t="s">
        <v>35</v>
      </c>
      <c r="U12" s="31" t="e">
        <f t="shared" si="4"/>
        <v>#VALUE!</v>
      </c>
      <c r="V12" s="31"/>
      <c r="W12" s="31" t="e">
        <f t="shared" si="6"/>
        <v>#VALUE!</v>
      </c>
    </row>
    <row r="13" ht="14.5" spans="1:23">
      <c r="A13" s="18">
        <v>8</v>
      </c>
      <c r="B13" s="19"/>
      <c r="C13" s="19"/>
      <c r="D13" s="20"/>
      <c r="E13" s="20"/>
      <c r="F13" s="20"/>
      <c r="G13" s="20"/>
      <c r="H13" s="20"/>
      <c r="I13" s="27">
        <f t="shared" si="0"/>
        <v>0</v>
      </c>
      <c r="J13" s="27" t="e">
        <f t="shared" si="5"/>
        <v>#DIV/0!</v>
      </c>
      <c r="K13" s="28" t="s">
        <v>35</v>
      </c>
      <c r="L13" s="11"/>
      <c r="M13" s="11"/>
      <c r="N13" s="11"/>
      <c r="O13" s="27">
        <f t="shared" si="1"/>
        <v>0</v>
      </c>
      <c r="P13" s="27" t="e">
        <f t="shared" si="2"/>
        <v>#DIV/0!</v>
      </c>
      <c r="Q13" s="28" t="s">
        <v>35</v>
      </c>
      <c r="R13" s="20"/>
      <c r="S13" s="20" t="e">
        <f t="shared" si="3"/>
        <v>#DIV/0!</v>
      </c>
      <c r="T13" s="28" t="s">
        <v>35</v>
      </c>
      <c r="U13" s="31" t="e">
        <f t="shared" si="4"/>
        <v>#VALUE!</v>
      </c>
      <c r="V13" s="31"/>
      <c r="W13" s="31" t="e">
        <f t="shared" si="6"/>
        <v>#VALUE!</v>
      </c>
    </row>
    <row r="14" ht="14.5" spans="1:23">
      <c r="A14" s="18">
        <v>9</v>
      </c>
      <c r="B14" s="19"/>
      <c r="C14" s="19"/>
      <c r="D14" s="20"/>
      <c r="E14" s="20"/>
      <c r="F14" s="20"/>
      <c r="G14" s="20"/>
      <c r="H14" s="20"/>
      <c r="I14" s="27">
        <f t="shared" si="0"/>
        <v>0</v>
      </c>
      <c r="J14" s="27" t="e">
        <f t="shared" si="5"/>
        <v>#DIV/0!</v>
      </c>
      <c r="K14" s="28" t="s">
        <v>35</v>
      </c>
      <c r="L14" s="11"/>
      <c r="M14" s="11"/>
      <c r="N14" s="11"/>
      <c r="O14" s="27">
        <f t="shared" si="1"/>
        <v>0</v>
      </c>
      <c r="P14" s="27" t="e">
        <f t="shared" si="2"/>
        <v>#DIV/0!</v>
      </c>
      <c r="Q14" s="28" t="s">
        <v>35</v>
      </c>
      <c r="R14" s="20"/>
      <c r="S14" s="20" t="e">
        <f t="shared" si="3"/>
        <v>#DIV/0!</v>
      </c>
      <c r="T14" s="28" t="s">
        <v>35</v>
      </c>
      <c r="U14" s="31" t="e">
        <f t="shared" si="4"/>
        <v>#VALUE!</v>
      </c>
      <c r="V14" s="31"/>
      <c r="W14" s="31" t="e">
        <f t="shared" si="6"/>
        <v>#VALUE!</v>
      </c>
    </row>
    <row r="15" ht="14.5" spans="1:23">
      <c r="A15" s="18">
        <v>10</v>
      </c>
      <c r="B15" s="19"/>
      <c r="C15" s="19"/>
      <c r="D15" s="20"/>
      <c r="E15" s="20"/>
      <c r="F15" s="20"/>
      <c r="G15" s="20"/>
      <c r="H15" s="20"/>
      <c r="I15" s="27">
        <f t="shared" si="0"/>
        <v>0</v>
      </c>
      <c r="J15" s="27" t="e">
        <f t="shared" si="5"/>
        <v>#DIV/0!</v>
      </c>
      <c r="K15" s="28" t="s">
        <v>35</v>
      </c>
      <c r="L15" s="11"/>
      <c r="M15" s="11"/>
      <c r="N15" s="11"/>
      <c r="O15" s="27">
        <f t="shared" si="1"/>
        <v>0</v>
      </c>
      <c r="P15" s="27" t="e">
        <f t="shared" si="2"/>
        <v>#DIV/0!</v>
      </c>
      <c r="Q15" s="28" t="s">
        <v>35</v>
      </c>
      <c r="R15" s="20"/>
      <c r="S15" s="20" t="e">
        <f t="shared" si="3"/>
        <v>#DIV/0!</v>
      </c>
      <c r="T15" s="28" t="s">
        <v>35</v>
      </c>
      <c r="U15" s="31" t="e">
        <f t="shared" si="4"/>
        <v>#VALUE!</v>
      </c>
      <c r="V15" s="31"/>
      <c r="W15" s="31" t="e">
        <f t="shared" si="6"/>
        <v>#VALUE!</v>
      </c>
    </row>
    <row r="16" ht="14.5" spans="1:23">
      <c r="A16" s="18">
        <v>11</v>
      </c>
      <c r="B16" s="19"/>
      <c r="C16" s="19"/>
      <c r="D16" s="20"/>
      <c r="E16" s="20"/>
      <c r="F16" s="20"/>
      <c r="G16" s="20"/>
      <c r="H16" s="20"/>
      <c r="I16" s="27">
        <f t="shared" si="0"/>
        <v>0</v>
      </c>
      <c r="J16" s="27" t="e">
        <f t="shared" si="5"/>
        <v>#DIV/0!</v>
      </c>
      <c r="K16" s="28" t="s">
        <v>35</v>
      </c>
      <c r="L16" s="11"/>
      <c r="M16" s="11"/>
      <c r="N16" s="11"/>
      <c r="O16" s="27">
        <f t="shared" si="1"/>
        <v>0</v>
      </c>
      <c r="P16" s="27" t="e">
        <f t="shared" si="2"/>
        <v>#DIV/0!</v>
      </c>
      <c r="Q16" s="28" t="s">
        <v>35</v>
      </c>
      <c r="R16" s="20"/>
      <c r="S16" s="20" t="e">
        <f t="shared" si="3"/>
        <v>#DIV/0!</v>
      </c>
      <c r="T16" s="28" t="s">
        <v>35</v>
      </c>
      <c r="U16" s="31" t="e">
        <f t="shared" si="4"/>
        <v>#VALUE!</v>
      </c>
      <c r="V16" s="31"/>
      <c r="W16" s="31" t="e">
        <f t="shared" si="6"/>
        <v>#VALUE!</v>
      </c>
    </row>
    <row r="17" ht="14.5" spans="1:23">
      <c r="A17" s="18">
        <v>12</v>
      </c>
      <c r="B17" s="19"/>
      <c r="C17" s="19"/>
      <c r="D17" s="20"/>
      <c r="E17" s="20"/>
      <c r="F17" s="20"/>
      <c r="G17" s="20"/>
      <c r="H17" s="20"/>
      <c r="I17" s="27">
        <f t="shared" si="0"/>
        <v>0</v>
      </c>
      <c r="J17" s="27" t="e">
        <f t="shared" si="5"/>
        <v>#DIV/0!</v>
      </c>
      <c r="K17" s="28" t="s">
        <v>35</v>
      </c>
      <c r="L17" s="11"/>
      <c r="M17" s="11"/>
      <c r="N17" s="11"/>
      <c r="O17" s="27">
        <f t="shared" si="1"/>
        <v>0</v>
      </c>
      <c r="P17" s="27" t="e">
        <f t="shared" si="2"/>
        <v>#DIV/0!</v>
      </c>
      <c r="Q17" s="28" t="s">
        <v>35</v>
      </c>
      <c r="R17" s="20"/>
      <c r="S17" s="20" t="e">
        <f t="shared" si="3"/>
        <v>#DIV/0!</v>
      </c>
      <c r="T17" s="28" t="s">
        <v>35</v>
      </c>
      <c r="U17" s="31" t="e">
        <f t="shared" si="4"/>
        <v>#VALUE!</v>
      </c>
      <c r="V17" s="31"/>
      <c r="W17" s="31" t="e">
        <f t="shared" si="6"/>
        <v>#VALUE!</v>
      </c>
    </row>
    <row r="18" ht="14.5" spans="1:23">
      <c r="A18" s="18">
        <v>13</v>
      </c>
      <c r="B18" s="19"/>
      <c r="C18" s="19"/>
      <c r="D18" s="20"/>
      <c r="E18" s="20"/>
      <c r="F18" s="20"/>
      <c r="G18" s="20"/>
      <c r="H18" s="20"/>
      <c r="I18" s="27">
        <f t="shared" si="0"/>
        <v>0</v>
      </c>
      <c r="J18" s="27" t="e">
        <f t="shared" si="5"/>
        <v>#DIV/0!</v>
      </c>
      <c r="K18" s="28" t="s">
        <v>35</v>
      </c>
      <c r="L18" s="11"/>
      <c r="M18" s="11"/>
      <c r="N18" s="11"/>
      <c r="O18" s="27">
        <f t="shared" si="1"/>
        <v>0</v>
      </c>
      <c r="P18" s="27" t="e">
        <f t="shared" si="2"/>
        <v>#DIV/0!</v>
      </c>
      <c r="Q18" s="28" t="s">
        <v>35</v>
      </c>
      <c r="R18" s="20"/>
      <c r="S18" s="20" t="e">
        <f t="shared" si="3"/>
        <v>#DIV/0!</v>
      </c>
      <c r="T18" s="28" t="s">
        <v>35</v>
      </c>
      <c r="U18" s="31" t="e">
        <f t="shared" si="4"/>
        <v>#VALUE!</v>
      </c>
      <c r="V18" s="31"/>
      <c r="W18" s="31" t="e">
        <f t="shared" si="6"/>
        <v>#VALUE!</v>
      </c>
    </row>
    <row r="19" ht="14.5" spans="1:23">
      <c r="A19" s="18">
        <v>14</v>
      </c>
      <c r="B19" s="19"/>
      <c r="C19" s="19"/>
      <c r="D19" s="20"/>
      <c r="E19" s="20"/>
      <c r="F19" s="20"/>
      <c r="G19" s="20"/>
      <c r="H19" s="20"/>
      <c r="I19" s="27">
        <f t="shared" si="0"/>
        <v>0</v>
      </c>
      <c r="J19" s="27" t="e">
        <f t="shared" si="5"/>
        <v>#DIV/0!</v>
      </c>
      <c r="K19" s="28" t="s">
        <v>35</v>
      </c>
      <c r="L19" s="11"/>
      <c r="M19" s="11"/>
      <c r="N19" s="11"/>
      <c r="O19" s="27">
        <f t="shared" si="1"/>
        <v>0</v>
      </c>
      <c r="P19" s="27" t="e">
        <f t="shared" si="2"/>
        <v>#DIV/0!</v>
      </c>
      <c r="Q19" s="28" t="s">
        <v>35</v>
      </c>
      <c r="R19" s="20"/>
      <c r="S19" s="20" t="e">
        <f t="shared" si="3"/>
        <v>#DIV/0!</v>
      </c>
      <c r="T19" s="28" t="s">
        <v>35</v>
      </c>
      <c r="U19" s="31" t="e">
        <f t="shared" si="4"/>
        <v>#VALUE!</v>
      </c>
      <c r="V19" s="31"/>
      <c r="W19" s="31" t="e">
        <f t="shared" si="6"/>
        <v>#VALUE!</v>
      </c>
    </row>
    <row r="20" ht="14.5" spans="1:23">
      <c r="A20" s="18">
        <v>15</v>
      </c>
      <c r="B20" s="19"/>
      <c r="C20" s="19"/>
      <c r="D20" s="20"/>
      <c r="E20" s="20"/>
      <c r="F20" s="20"/>
      <c r="G20" s="20"/>
      <c r="H20" s="20"/>
      <c r="I20" s="27">
        <f t="shared" si="0"/>
        <v>0</v>
      </c>
      <c r="J20" s="27" t="e">
        <f t="shared" si="5"/>
        <v>#DIV/0!</v>
      </c>
      <c r="K20" s="28" t="s">
        <v>35</v>
      </c>
      <c r="L20" s="11"/>
      <c r="M20" s="11"/>
      <c r="N20" s="11"/>
      <c r="O20" s="27">
        <f t="shared" si="1"/>
        <v>0</v>
      </c>
      <c r="P20" s="27" t="e">
        <f t="shared" si="2"/>
        <v>#DIV/0!</v>
      </c>
      <c r="Q20" s="28" t="s">
        <v>35</v>
      </c>
      <c r="R20" s="20"/>
      <c r="S20" s="20" t="e">
        <f t="shared" si="3"/>
        <v>#DIV/0!</v>
      </c>
      <c r="T20" s="28" t="s">
        <v>35</v>
      </c>
      <c r="U20" s="31" t="e">
        <f t="shared" si="4"/>
        <v>#VALUE!</v>
      </c>
      <c r="V20" s="31"/>
      <c r="W20" s="31" t="e">
        <f t="shared" si="6"/>
        <v>#VALUE!</v>
      </c>
    </row>
    <row r="21" ht="15.75" customHeight="1" spans="1:23">
      <c r="A21" s="18">
        <v>16</v>
      </c>
      <c r="B21" s="19"/>
      <c r="C21" s="19"/>
      <c r="D21" s="20"/>
      <c r="E21" s="20"/>
      <c r="F21" s="20"/>
      <c r="G21" s="20"/>
      <c r="H21" s="20"/>
      <c r="I21" s="27">
        <f t="shared" si="0"/>
        <v>0</v>
      </c>
      <c r="J21" s="27" t="e">
        <f t="shared" si="5"/>
        <v>#DIV/0!</v>
      </c>
      <c r="K21" s="28" t="s">
        <v>35</v>
      </c>
      <c r="L21" s="11"/>
      <c r="M21" s="11"/>
      <c r="N21" s="11"/>
      <c r="O21" s="27">
        <f t="shared" si="1"/>
        <v>0</v>
      </c>
      <c r="P21" s="27" t="e">
        <f t="shared" si="2"/>
        <v>#DIV/0!</v>
      </c>
      <c r="Q21" s="28" t="s">
        <v>35</v>
      </c>
      <c r="R21" s="20"/>
      <c r="S21" s="20" t="e">
        <f t="shared" si="3"/>
        <v>#DIV/0!</v>
      </c>
      <c r="T21" s="28" t="s">
        <v>35</v>
      </c>
      <c r="U21" s="31" t="e">
        <f t="shared" si="4"/>
        <v>#VALUE!</v>
      </c>
      <c r="V21" s="31"/>
      <c r="W21" s="31" t="e">
        <f t="shared" si="6"/>
        <v>#VALUE!</v>
      </c>
    </row>
    <row r="22" ht="15.75" customHeight="1" spans="1:23">
      <c r="A22" s="18">
        <v>17</v>
      </c>
      <c r="B22" s="19"/>
      <c r="C22" s="19"/>
      <c r="D22" s="20"/>
      <c r="E22" s="20"/>
      <c r="F22" s="20"/>
      <c r="G22" s="20"/>
      <c r="H22" s="20"/>
      <c r="I22" s="27">
        <f t="shared" si="0"/>
        <v>0</v>
      </c>
      <c r="J22" s="27" t="e">
        <f t="shared" si="5"/>
        <v>#DIV/0!</v>
      </c>
      <c r="K22" s="28" t="s">
        <v>35</v>
      </c>
      <c r="L22" s="11"/>
      <c r="M22" s="11"/>
      <c r="N22" s="11"/>
      <c r="O22" s="27">
        <f t="shared" si="1"/>
        <v>0</v>
      </c>
      <c r="P22" s="27" t="e">
        <f t="shared" si="2"/>
        <v>#DIV/0!</v>
      </c>
      <c r="Q22" s="28" t="s">
        <v>35</v>
      </c>
      <c r="R22" s="20"/>
      <c r="S22" s="20" t="e">
        <f t="shared" si="3"/>
        <v>#DIV/0!</v>
      </c>
      <c r="T22" s="28" t="s">
        <v>35</v>
      </c>
      <c r="U22" s="31" t="e">
        <f t="shared" si="4"/>
        <v>#VALUE!</v>
      </c>
      <c r="V22" s="31"/>
      <c r="W22" s="31" t="e">
        <f t="shared" si="6"/>
        <v>#VALUE!</v>
      </c>
    </row>
    <row r="23" ht="15.75" customHeight="1" spans="1:23">
      <c r="A23" s="18">
        <v>18</v>
      </c>
      <c r="B23" s="19"/>
      <c r="C23" s="19"/>
      <c r="D23" s="20"/>
      <c r="E23" s="20"/>
      <c r="F23" s="20"/>
      <c r="G23" s="20"/>
      <c r="H23" s="20"/>
      <c r="I23" s="27">
        <f t="shared" si="0"/>
        <v>0</v>
      </c>
      <c r="J23" s="27" t="e">
        <f t="shared" si="5"/>
        <v>#DIV/0!</v>
      </c>
      <c r="K23" s="28" t="s">
        <v>35</v>
      </c>
      <c r="L23" s="11"/>
      <c r="M23" s="11"/>
      <c r="N23" s="11"/>
      <c r="O23" s="27">
        <f t="shared" si="1"/>
        <v>0</v>
      </c>
      <c r="P23" s="27" t="e">
        <f t="shared" si="2"/>
        <v>#DIV/0!</v>
      </c>
      <c r="Q23" s="28" t="s">
        <v>35</v>
      </c>
      <c r="R23" s="20"/>
      <c r="S23" s="20" t="e">
        <f t="shared" si="3"/>
        <v>#DIV/0!</v>
      </c>
      <c r="T23" s="28" t="s">
        <v>35</v>
      </c>
      <c r="U23" s="31" t="e">
        <f t="shared" si="4"/>
        <v>#VALUE!</v>
      </c>
      <c r="V23" s="31"/>
      <c r="W23" s="31" t="e">
        <f t="shared" si="6"/>
        <v>#VALUE!</v>
      </c>
    </row>
    <row r="24" ht="15.75" customHeight="1" spans="1:23">
      <c r="A24" s="18">
        <v>19</v>
      </c>
      <c r="B24" s="19"/>
      <c r="C24" s="19"/>
      <c r="D24" s="20"/>
      <c r="E24" s="20"/>
      <c r="F24" s="20"/>
      <c r="G24" s="20"/>
      <c r="H24" s="20"/>
      <c r="I24" s="27">
        <f t="shared" si="0"/>
        <v>0</v>
      </c>
      <c r="J24" s="27" t="e">
        <f t="shared" si="5"/>
        <v>#DIV/0!</v>
      </c>
      <c r="K24" s="28" t="s">
        <v>35</v>
      </c>
      <c r="L24" s="11"/>
      <c r="M24" s="11"/>
      <c r="N24" s="11"/>
      <c r="O24" s="27">
        <f t="shared" si="1"/>
        <v>0</v>
      </c>
      <c r="P24" s="27" t="e">
        <f t="shared" si="2"/>
        <v>#DIV/0!</v>
      </c>
      <c r="Q24" s="28" t="s">
        <v>35</v>
      </c>
      <c r="R24" s="20"/>
      <c r="S24" s="20" t="e">
        <f t="shared" si="3"/>
        <v>#DIV/0!</v>
      </c>
      <c r="T24" s="28" t="s">
        <v>35</v>
      </c>
      <c r="U24" s="31" t="e">
        <f t="shared" si="4"/>
        <v>#VALUE!</v>
      </c>
      <c r="V24" s="31"/>
      <c r="W24" s="31" t="e">
        <f t="shared" si="6"/>
        <v>#VALUE!</v>
      </c>
    </row>
    <row r="25" ht="15.75" customHeight="1" spans="1:23">
      <c r="A25" s="18">
        <v>20</v>
      </c>
      <c r="B25" s="19"/>
      <c r="C25" s="19"/>
      <c r="D25" s="20"/>
      <c r="E25" s="20"/>
      <c r="F25" s="20"/>
      <c r="G25" s="20"/>
      <c r="H25" s="20"/>
      <c r="I25" s="27">
        <f t="shared" si="0"/>
        <v>0</v>
      </c>
      <c r="J25" s="27" t="e">
        <f t="shared" si="5"/>
        <v>#DIV/0!</v>
      </c>
      <c r="K25" s="28" t="s">
        <v>35</v>
      </c>
      <c r="L25" s="11"/>
      <c r="M25" s="11"/>
      <c r="N25" s="11"/>
      <c r="O25" s="27">
        <f t="shared" si="1"/>
        <v>0</v>
      </c>
      <c r="P25" s="27" t="e">
        <f t="shared" si="2"/>
        <v>#DIV/0!</v>
      </c>
      <c r="Q25" s="28" t="s">
        <v>35</v>
      </c>
      <c r="R25" s="20"/>
      <c r="S25" s="20" t="e">
        <f t="shared" si="3"/>
        <v>#DIV/0!</v>
      </c>
      <c r="T25" s="28" t="s">
        <v>35</v>
      </c>
      <c r="U25" s="31" t="e">
        <f t="shared" si="4"/>
        <v>#VALUE!</v>
      </c>
      <c r="V25" s="31"/>
      <c r="W25" s="31" t="e">
        <f t="shared" si="6"/>
        <v>#VALUE!</v>
      </c>
    </row>
    <row r="26" ht="15.75" customHeight="1" spans="1:23">
      <c r="A26" s="18">
        <v>21</v>
      </c>
      <c r="B26" s="19"/>
      <c r="C26" s="19"/>
      <c r="D26" s="20"/>
      <c r="E26" s="20"/>
      <c r="F26" s="20"/>
      <c r="G26" s="20"/>
      <c r="H26" s="20"/>
      <c r="I26" s="27">
        <f t="shared" si="0"/>
        <v>0</v>
      </c>
      <c r="J26" s="27" t="e">
        <f t="shared" si="5"/>
        <v>#DIV/0!</v>
      </c>
      <c r="K26" s="28" t="s">
        <v>35</v>
      </c>
      <c r="L26" s="11"/>
      <c r="M26" s="11"/>
      <c r="N26" s="11"/>
      <c r="O26" s="27">
        <f t="shared" si="1"/>
        <v>0</v>
      </c>
      <c r="P26" s="27" t="e">
        <f t="shared" si="2"/>
        <v>#DIV/0!</v>
      </c>
      <c r="Q26" s="28" t="s">
        <v>35</v>
      </c>
      <c r="R26" s="20"/>
      <c r="S26" s="20" t="e">
        <f t="shared" si="3"/>
        <v>#DIV/0!</v>
      </c>
      <c r="T26" s="28" t="s">
        <v>35</v>
      </c>
      <c r="U26" s="31" t="e">
        <f t="shared" si="4"/>
        <v>#VALUE!</v>
      </c>
      <c r="V26" s="31"/>
      <c r="W26" s="31" t="e">
        <f t="shared" si="6"/>
        <v>#VALUE!</v>
      </c>
    </row>
    <row r="27" ht="15.75" customHeight="1" spans="1:23">
      <c r="A27" s="18">
        <v>22</v>
      </c>
      <c r="B27" s="19"/>
      <c r="C27" s="19"/>
      <c r="D27" s="20"/>
      <c r="E27" s="20"/>
      <c r="F27" s="20"/>
      <c r="G27" s="20"/>
      <c r="H27" s="20"/>
      <c r="I27" s="27">
        <f t="shared" si="0"/>
        <v>0</v>
      </c>
      <c r="J27" s="27" t="e">
        <f t="shared" si="5"/>
        <v>#DIV/0!</v>
      </c>
      <c r="K27" s="28" t="s">
        <v>35</v>
      </c>
      <c r="L27" s="11"/>
      <c r="M27" s="11"/>
      <c r="N27" s="11"/>
      <c r="O27" s="27">
        <f t="shared" si="1"/>
        <v>0</v>
      </c>
      <c r="P27" s="27" t="e">
        <f t="shared" si="2"/>
        <v>#DIV/0!</v>
      </c>
      <c r="Q27" s="28" t="s">
        <v>35</v>
      </c>
      <c r="R27" s="20"/>
      <c r="S27" s="20" t="e">
        <f t="shared" si="3"/>
        <v>#DIV/0!</v>
      </c>
      <c r="T27" s="28" t="s">
        <v>35</v>
      </c>
      <c r="U27" s="31" t="e">
        <f t="shared" si="4"/>
        <v>#VALUE!</v>
      </c>
      <c r="V27" s="31"/>
      <c r="W27" s="31" t="e">
        <f t="shared" si="6"/>
        <v>#VALUE!</v>
      </c>
    </row>
    <row r="28" ht="15.75" customHeight="1" spans="1:23">
      <c r="A28" s="18">
        <v>23</v>
      </c>
      <c r="B28" s="19"/>
      <c r="C28" s="19"/>
      <c r="D28" s="20"/>
      <c r="E28" s="20"/>
      <c r="F28" s="20"/>
      <c r="G28" s="20"/>
      <c r="H28" s="20"/>
      <c r="I28" s="27">
        <f t="shared" si="0"/>
        <v>0</v>
      </c>
      <c r="J28" s="27" t="e">
        <f t="shared" si="5"/>
        <v>#DIV/0!</v>
      </c>
      <c r="K28" s="28" t="s">
        <v>35</v>
      </c>
      <c r="L28" s="11"/>
      <c r="M28" s="11"/>
      <c r="N28" s="11"/>
      <c r="O28" s="27">
        <f t="shared" si="1"/>
        <v>0</v>
      </c>
      <c r="P28" s="27" t="e">
        <f t="shared" si="2"/>
        <v>#DIV/0!</v>
      </c>
      <c r="Q28" s="28" t="s">
        <v>35</v>
      </c>
      <c r="R28" s="20"/>
      <c r="S28" s="20" t="e">
        <f t="shared" si="3"/>
        <v>#DIV/0!</v>
      </c>
      <c r="T28" s="28" t="s">
        <v>35</v>
      </c>
      <c r="U28" s="31" t="e">
        <f t="shared" si="4"/>
        <v>#VALUE!</v>
      </c>
      <c r="V28" s="31"/>
      <c r="W28" s="31" t="e">
        <f t="shared" si="6"/>
        <v>#VALUE!</v>
      </c>
    </row>
    <row r="29" ht="15.75" customHeight="1" spans="1:23">
      <c r="A29" s="18">
        <v>24</v>
      </c>
      <c r="B29" s="19"/>
      <c r="C29" s="19"/>
      <c r="D29" s="20"/>
      <c r="E29" s="20"/>
      <c r="F29" s="20"/>
      <c r="G29" s="20"/>
      <c r="H29" s="20"/>
      <c r="I29" s="27">
        <f t="shared" si="0"/>
        <v>0</v>
      </c>
      <c r="J29" s="27" t="e">
        <f t="shared" si="5"/>
        <v>#DIV/0!</v>
      </c>
      <c r="K29" s="28" t="s">
        <v>35</v>
      </c>
      <c r="L29" s="11"/>
      <c r="M29" s="11"/>
      <c r="N29" s="11"/>
      <c r="O29" s="27">
        <f t="shared" si="1"/>
        <v>0</v>
      </c>
      <c r="P29" s="27" t="e">
        <f t="shared" si="2"/>
        <v>#DIV/0!</v>
      </c>
      <c r="Q29" s="28" t="s">
        <v>35</v>
      </c>
      <c r="R29" s="20"/>
      <c r="S29" s="20" t="e">
        <f t="shared" si="3"/>
        <v>#DIV/0!</v>
      </c>
      <c r="T29" s="28" t="s">
        <v>35</v>
      </c>
      <c r="U29" s="31" t="e">
        <f t="shared" si="4"/>
        <v>#VALUE!</v>
      </c>
      <c r="V29" s="31"/>
      <c r="W29" s="31" t="e">
        <f t="shared" si="6"/>
        <v>#VALUE!</v>
      </c>
    </row>
    <row r="30" ht="15.75" customHeight="1" spans="1:23">
      <c r="A30" s="18">
        <v>25</v>
      </c>
      <c r="B30" s="19"/>
      <c r="C30" s="19"/>
      <c r="D30" s="20"/>
      <c r="E30" s="20"/>
      <c r="F30" s="20"/>
      <c r="G30" s="20"/>
      <c r="H30" s="20"/>
      <c r="I30" s="27">
        <f t="shared" si="0"/>
        <v>0</v>
      </c>
      <c r="J30" s="27" t="e">
        <f t="shared" si="5"/>
        <v>#DIV/0!</v>
      </c>
      <c r="K30" s="28" t="s">
        <v>35</v>
      </c>
      <c r="L30" s="11"/>
      <c r="M30" s="11"/>
      <c r="N30" s="11"/>
      <c r="O30" s="27">
        <f t="shared" si="1"/>
        <v>0</v>
      </c>
      <c r="P30" s="27" t="e">
        <f t="shared" si="2"/>
        <v>#DIV/0!</v>
      </c>
      <c r="Q30" s="28" t="s">
        <v>35</v>
      </c>
      <c r="R30" s="20"/>
      <c r="S30" s="20" t="e">
        <f t="shared" si="3"/>
        <v>#DIV/0!</v>
      </c>
      <c r="T30" s="28" t="s">
        <v>35</v>
      </c>
      <c r="U30" s="31" t="e">
        <f t="shared" si="4"/>
        <v>#VALUE!</v>
      </c>
      <c r="V30" s="31"/>
      <c r="W30" s="31" t="e">
        <f t="shared" si="6"/>
        <v>#VALUE!</v>
      </c>
    </row>
    <row r="31" ht="15.75" customHeight="1" spans="1:23">
      <c r="A31" s="18">
        <v>26</v>
      </c>
      <c r="B31" s="19"/>
      <c r="C31" s="19"/>
      <c r="D31" s="20"/>
      <c r="E31" s="20"/>
      <c r="F31" s="20"/>
      <c r="G31" s="20"/>
      <c r="H31" s="20"/>
      <c r="I31" s="27">
        <f t="shared" si="0"/>
        <v>0</v>
      </c>
      <c r="J31" s="27" t="e">
        <f t="shared" si="5"/>
        <v>#DIV/0!</v>
      </c>
      <c r="K31" s="28" t="s">
        <v>35</v>
      </c>
      <c r="L31" s="11"/>
      <c r="M31" s="11"/>
      <c r="N31" s="11"/>
      <c r="O31" s="27">
        <f t="shared" si="1"/>
        <v>0</v>
      </c>
      <c r="P31" s="27" t="e">
        <f t="shared" si="2"/>
        <v>#DIV/0!</v>
      </c>
      <c r="Q31" s="28" t="s">
        <v>35</v>
      </c>
      <c r="R31" s="20"/>
      <c r="S31" s="20" t="e">
        <f t="shared" si="3"/>
        <v>#DIV/0!</v>
      </c>
      <c r="T31" s="28" t="s">
        <v>35</v>
      </c>
      <c r="U31" s="31" t="e">
        <f t="shared" si="4"/>
        <v>#VALUE!</v>
      </c>
      <c r="V31" s="31"/>
      <c r="W31" s="31" t="e">
        <f t="shared" si="6"/>
        <v>#VALUE!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W1"/>
    <mergeCell ref="D2:K2"/>
    <mergeCell ref="L2:Q2"/>
    <mergeCell ref="R2:U2"/>
    <mergeCell ref="V2:W2"/>
    <mergeCell ref="A4:B4"/>
    <mergeCell ref="A5:B5"/>
    <mergeCell ref="I3:I4"/>
    <mergeCell ref="J3:J4"/>
    <mergeCell ref="K3:K4"/>
    <mergeCell ref="O3:O4"/>
    <mergeCell ref="P3:P4"/>
    <mergeCell ref="Q3:Q4"/>
    <mergeCell ref="S3:S4"/>
    <mergeCell ref="T3:T4"/>
    <mergeCell ref="U3:U4"/>
    <mergeCell ref="V3:V4"/>
    <mergeCell ref="W3:W4"/>
    <mergeCell ref="A2:C3"/>
  </mergeCells>
  <conditionalFormatting sqref="U6:W31">
    <cfRule type="cellIs" dxfId="0" priority="1" operator="lessThan">
      <formula>3.1</formula>
    </cfRule>
    <cfRule type="cellIs" dxfId="1" priority="2" operator="greaterThanOrEqual">
      <formula>3.1</formula>
    </cfRule>
  </conditionalFormatting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Grading</vt:lpstr>
      <vt:lpstr>Midterms</vt:lpstr>
      <vt:lpstr>Finals with PT</vt:lpstr>
      <vt:lpstr>Finals without 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Jorenz Ranes</cp:lastModifiedBy>
  <dcterms:created xsi:type="dcterms:W3CDTF">2026-09-14T01:50:00Z</dcterms:created>
  <dcterms:modified xsi:type="dcterms:W3CDTF">2026-09-14T04:03:05Z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AED203CB88404875ADEA077AC4AEF0B6_12</vt:lpwstr>
  </property>
  <property fmtid="{D5CDD505-2E9C-101B-9397-08002B2CF9AE}" pid="3" name="KSOProductBuildVer">
    <vt:lpwstr>1033-12.2.0.23206</vt:lpwstr>
  </property>
</Properties>
</file>